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am\Downloads\"/>
    </mc:Choice>
  </mc:AlternateContent>
  <xr:revisionPtr revIDLastSave="0" documentId="8_{56BE78B5-7B65-4EB0-BB8A-CD5DFDE03108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Indice" sheetId="1" r:id="rId1"/>
    <sheet name="DRAM_US" sheetId="2" r:id="rId2"/>
    <sheet name="DTCR_US" sheetId="3" r:id="rId3"/>
    <sheet name="VOLT_US" sheetId="4" r:id="rId4"/>
    <sheet name="AIRR_US" sheetId="5" r:id="rId5"/>
    <sheet name="EUV_US" sheetId="6" r:id="rId6"/>
    <sheet name="FOTO_US" sheetId="7" r:id="rId7"/>
    <sheet name="PICK_US" sheetId="8" r:id="rId8"/>
    <sheet name="COPX_US" sheetId="9" r:id="rId9"/>
    <sheet name="LOHA_US" sheetId="10" r:id="rId10"/>
    <sheet name="JEDI_LN" sheetId="11" r:id="rId11"/>
    <sheet name="QTUM_US" sheetId="12" r:id="rId12"/>
    <sheet name="JEDI_US" sheetId="13" r:id="rId13"/>
    <sheet name="REMX_US" sheetId="14" r:id="rId14"/>
    <sheet name="Overlap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0" i="14" l="1"/>
  <c r="D30" i="14"/>
  <c r="F12" i="14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E30" i="13"/>
  <c r="D30" i="13"/>
  <c r="F12" i="13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E29" i="12"/>
  <c r="D29" i="12"/>
  <c r="F11" i="12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E29" i="11"/>
  <c r="D29" i="11"/>
  <c r="F11" i="1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E29" i="10"/>
  <c r="D29" i="10"/>
  <c r="F11" i="10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E29" i="9"/>
  <c r="D29" i="9"/>
  <c r="F11" i="9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E29" i="8"/>
  <c r="D29" i="8"/>
  <c r="F11" i="8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E26" i="7"/>
  <c r="D26" i="7"/>
  <c r="F11" i="7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E29" i="6"/>
  <c r="D29" i="6"/>
  <c r="F11" i="6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E29" i="5"/>
  <c r="D29" i="5"/>
  <c r="F11" i="5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E29" i="4"/>
  <c r="D29" i="4"/>
  <c r="F11" i="4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E29" i="3"/>
  <c r="D29" i="3"/>
  <c r="F11" i="3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E25" i="2"/>
  <c r="D25" i="2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</calcChain>
</file>

<file path=xl/sharedStrings.xml><?xml version="1.0" encoding="utf-8"?>
<sst xmlns="http://schemas.openxmlformats.org/spreadsheetml/2006/main" count="1102" uniqueCount="515">
  <si>
    <t>Catalogo de ETFs</t>
  </si>
  <si>
    <t>Fonte: Bloomberg (telas DES + Holder Ownership). Holdings = top posicoes por print; ver data de filing por fundo.</t>
  </si>
  <si>
    <t>Ticker</t>
  </si>
  <si>
    <t>Nome</t>
  </si>
  <si>
    <t>Emissor</t>
  </si>
  <si>
    <t>Categoria</t>
  </si>
  <si>
    <t>Domicilio</t>
  </si>
  <si>
    <t>Moeda</t>
  </si>
  <si>
    <t>TER</t>
  </si>
  <si>
    <t>DRAM US</t>
  </si>
  <si>
    <t>Roundhill Memory ETF</t>
  </si>
  <si>
    <t>Roundhill</t>
  </si>
  <si>
    <t>Equity Technology</t>
  </si>
  <si>
    <t>EUA</t>
  </si>
  <si>
    <t>USD</t>
  </si>
  <si>
    <t>DTCR US</t>
  </si>
  <si>
    <t>Global X Data Center &amp; Digital Infrastructure ETF</t>
  </si>
  <si>
    <t>Global X</t>
  </si>
  <si>
    <t>Equity Thematic</t>
  </si>
  <si>
    <t>VOLT US</t>
  </si>
  <si>
    <t>Tema Electrification ETF</t>
  </si>
  <si>
    <t>Tema</t>
  </si>
  <si>
    <t>AIRR US</t>
  </si>
  <si>
    <t>First Trust RBA American Industrial Renaissance ETF</t>
  </si>
  <si>
    <t>First Trust</t>
  </si>
  <si>
    <t>Equity Industrials</t>
  </si>
  <si>
    <t>EUV US</t>
  </si>
  <si>
    <t>Corgi Lithography &amp; Semiconductor Photonics ETF</t>
  </si>
  <si>
    <t>Corgi</t>
  </si>
  <si>
    <t>FOTO US</t>
  </si>
  <si>
    <t>Tuttle Capital Pure Play Photonics ETF</t>
  </si>
  <si>
    <t>Tuttle Capital</t>
  </si>
  <si>
    <t>PICK US</t>
  </si>
  <si>
    <t>iShares MSCI Global Select Metals &amp; Mining Producers ETF</t>
  </si>
  <si>
    <t>iShares (BlackRock)</t>
  </si>
  <si>
    <t>Equity Materials</t>
  </si>
  <si>
    <t>COPX US</t>
  </si>
  <si>
    <t>Global X Copper Miners ETF</t>
  </si>
  <si>
    <t>LOHA US</t>
  </si>
  <si>
    <t>Roundhill HALO ETF</t>
  </si>
  <si>
    <t>Domestic Equity, General</t>
  </si>
  <si>
    <t>JEDI LN</t>
  </si>
  <si>
    <t>VanEck Space Innovators UCITS ETF</t>
  </si>
  <si>
    <t>VanEck</t>
  </si>
  <si>
    <t>Irlanda (UCITS)</t>
  </si>
  <si>
    <t>QTUM US</t>
  </si>
  <si>
    <t>Defiance Quantum ETF</t>
  </si>
  <si>
    <t>Defiance</t>
  </si>
  <si>
    <t>JEDI US</t>
  </si>
  <si>
    <t>Defiance Drone &amp; Modern Warfare ETF</t>
  </si>
  <si>
    <t>REMX US</t>
  </si>
  <si>
    <t>VanEck Rare Earth and Strategic Metals ETF</t>
  </si>
  <si>
    <t>DRAM US  —  Roundhill Memory ETF</t>
  </si>
  <si>
    <t>O QUE E</t>
  </si>
  <si>
    <t>ETF dos EUA, gestao ativa, que busca apreciacao de capital investindo &gt;=80% do patrimonio em acoes ou instrumentos com exposicao a empresas de memoria (DRAM/NAND). Usa swaps (swap-based) para parte da exposicao.</t>
  </si>
  <si>
    <t>HOLDINGS  (completa)</t>
  </si>
  <si>
    <t>#</t>
  </si>
  <si>
    <t>Ativo</t>
  </si>
  <si>
    <t>% do fundo</t>
  </si>
  <si>
    <t>Curr MV (USD)</t>
  </si>
  <si>
    <t>% acum.</t>
  </si>
  <si>
    <t>SK hynix Inc</t>
  </si>
  <si>
    <t>000660 KS</t>
  </si>
  <si>
    <t>Treasury Bill</t>
  </si>
  <si>
    <t>B 0 07/14/26</t>
  </si>
  <si>
    <t>Samsung Electronics Co Ltd</t>
  </si>
  <si>
    <t>005930 KS</t>
  </si>
  <si>
    <t>Kioxia Holdings Corp</t>
  </si>
  <si>
    <t>285A JP</t>
  </si>
  <si>
    <t>Sandisk Corp</t>
  </si>
  <si>
    <t>SNDK US</t>
  </si>
  <si>
    <t>Seagate Technology Holdings PLC</t>
  </si>
  <si>
    <t>STX US</t>
  </si>
  <si>
    <t>Micron Technology Inc</t>
  </si>
  <si>
    <t>MU US</t>
  </si>
  <si>
    <t>Western Digital Corp</t>
  </si>
  <si>
    <t>WDC US</t>
  </si>
  <si>
    <t>Nanya Technology Corp</t>
  </si>
  <si>
    <t>2408 TT</t>
  </si>
  <si>
    <t>Winbond Electronics Corp</t>
  </si>
  <si>
    <t>2344 TT</t>
  </si>
  <si>
    <t>Samsung Electronics -Swap-Gold-L</t>
  </si>
  <si>
    <t>--</t>
  </si>
  <si>
    <t>Micron Technology Inc.-Swap-Gold-L</t>
  </si>
  <si>
    <t>Micron Technology Inc Swap NM</t>
  </si>
  <si>
    <t>SK Hynix Inc-Swap-Gold-L</t>
  </si>
  <si>
    <t>Spot (Caixa)</t>
  </si>
  <si>
    <t>USD Curncy</t>
  </si>
  <si>
    <t>Soma do que esta na tabela</t>
  </si>
  <si>
    <t>Fonte: Bloomberg, DRAM US Equity — telas DES (Profile) e Holder Ownership. Holdings filing: 09/06/2026. % = % do patrimonio liquido (% Net). Transcrito de print; conferir pesos/MV antes de uso final.</t>
  </si>
  <si>
    <t>DTCR US  —  Global X Data Center &amp; Digital Infrastructure ETF</t>
  </si>
  <si>
    <t>ETF dos EUA que replica o Solactive Data Center REITs &amp; Digital Infrastructure Index. Exposicao a REITs de data center, torres e infraestrutura digital.</t>
  </si>
  <si>
    <t>HOLDINGS  (top 18 de 28)</t>
  </si>
  <si>
    <t>Equinix Inc</t>
  </si>
  <si>
    <t>EQIX US</t>
  </si>
  <si>
    <t>Digital Realty Trust Inc</t>
  </si>
  <si>
    <t>DLR US</t>
  </si>
  <si>
    <t>American Tower Corp</t>
  </si>
  <si>
    <t>AMT US</t>
  </si>
  <si>
    <t>Crown Castle Inc</t>
  </si>
  <si>
    <t>CCI US</t>
  </si>
  <si>
    <t>Marvell Technology Inc</t>
  </si>
  <si>
    <t>MRVL US</t>
  </si>
  <si>
    <t>NEXTDC Ltd</t>
  </si>
  <si>
    <t>NXT AU</t>
  </si>
  <si>
    <t>Applied Digital Corp</t>
  </si>
  <si>
    <t>APLD US</t>
  </si>
  <si>
    <t>SBA Communications Corp</t>
  </si>
  <si>
    <t>SBAC US</t>
  </si>
  <si>
    <t>Intel Corp</t>
  </si>
  <si>
    <t>INTC US</t>
  </si>
  <si>
    <t>Keppel DC REIT Unit</t>
  </si>
  <si>
    <t>KDCREIT SP</t>
  </si>
  <si>
    <t>Advanced Micro Devices Inc</t>
  </si>
  <si>
    <t>AMD US</t>
  </si>
  <si>
    <t>Uniti Group Inc</t>
  </si>
  <si>
    <t>UNIT US</t>
  </si>
  <si>
    <t>GDS Holdings Ltd - Depositary Receipt</t>
  </si>
  <si>
    <t>GDS US</t>
  </si>
  <si>
    <t>Vnet Group Inc - Depositary Receipt</t>
  </si>
  <si>
    <t>VNET US</t>
  </si>
  <si>
    <t>Super Micro Computer Inc</t>
  </si>
  <si>
    <t>SMCI US</t>
  </si>
  <si>
    <t>Taiwan Semiconductor Manufacturing Co</t>
  </si>
  <si>
    <t>2330 TT</t>
  </si>
  <si>
    <t>Fonte: Bloomberg, DTCR US Equity — telas DES (Profile) e Holder Ownership. Holdings filing: 08/06/2026. % = % do patrimonio liquido (% Net). Transcrito de print; conferir pesos/MV antes de uso final.</t>
  </si>
  <si>
    <t>VOLT US  —  Tema Electrification ETF</t>
  </si>
  <si>
    <t>ETF dos EUA, gestao ativa, foco em crescimento de capital de longo prazo. Investe &gt;=80% do patrimonio em acoes ordinarias e preferenciais de empresas ligadas direta ou indiretamente a eletrificacao global.</t>
  </si>
  <si>
    <t>HOLDINGS  (top 18 de 34)</t>
  </si>
  <si>
    <t>Powell Industries Inc</t>
  </si>
  <si>
    <t>POWL US</t>
  </si>
  <si>
    <t>Bel Fuse Inc Class B</t>
  </si>
  <si>
    <t>BELFB US</t>
  </si>
  <si>
    <t>Quanta Services Inc</t>
  </si>
  <si>
    <t>PWR US</t>
  </si>
  <si>
    <t>Eaton Corp PLC</t>
  </si>
  <si>
    <t>ETN US</t>
  </si>
  <si>
    <t>American Electric Power Co Inc</t>
  </si>
  <si>
    <t>AEP US</t>
  </si>
  <si>
    <t>Amphenol Corp</t>
  </si>
  <si>
    <t>APH US</t>
  </si>
  <si>
    <t>Bloom Energy Corp</t>
  </si>
  <si>
    <t>BE US</t>
  </si>
  <si>
    <t>NextEra Energy Inc</t>
  </si>
  <si>
    <t>NEE US</t>
  </si>
  <si>
    <t>Advanced Energy Industries Inc</t>
  </si>
  <si>
    <t>AEIS US</t>
  </si>
  <si>
    <t>GE Vernova Inc</t>
  </si>
  <si>
    <t>GEV US</t>
  </si>
  <si>
    <t>OGE Energy Corp</t>
  </si>
  <si>
    <t>OGE US</t>
  </si>
  <si>
    <t>Entergy Corp</t>
  </si>
  <si>
    <t>ETR US</t>
  </si>
  <si>
    <t>Energy Transfer LP</t>
  </si>
  <si>
    <t>ET US</t>
  </si>
  <si>
    <t>Hubbell Inc</t>
  </si>
  <si>
    <t>HUBB US</t>
  </si>
  <si>
    <t>Modine Manufacturing Co</t>
  </si>
  <si>
    <t>MOD US</t>
  </si>
  <si>
    <t>NiSource Inc</t>
  </si>
  <si>
    <t>NI US</t>
  </si>
  <si>
    <t>IDACORP Inc</t>
  </si>
  <si>
    <t>IDA US</t>
  </si>
  <si>
    <t>nVent Electric PLC</t>
  </si>
  <si>
    <t>NVT US</t>
  </si>
  <si>
    <t>Fonte: Bloomberg, VOLT US Equity — telas DES (Profile) e Holder Ownership. Holdings filing: 08/06/2026. % = % do patrimonio liquido (% Net). Transcrito de print; conferir pesos/MV antes de uso final.</t>
  </si>
  <si>
    <t>AIRR US  —  First Trust RBA American Industrial Renaissance ETF</t>
  </si>
  <si>
    <t>ETF dos EUA que replica o Richard Bernstein Advisors American Industrial Renaissance Index. Foco em industriais e bancos comunitarios americanos de mid-cap.</t>
  </si>
  <si>
    <t>HOLDINGS  (top 18 de 53)</t>
  </si>
  <si>
    <t>Sterling Infrastructure Inc</t>
  </si>
  <si>
    <t>STRL US</t>
  </si>
  <si>
    <t>CH Robinson Worldwide Inc</t>
  </si>
  <si>
    <t>CHRW US</t>
  </si>
  <si>
    <t>Comfort Systems USA Inc</t>
  </si>
  <si>
    <t>FIX US</t>
  </si>
  <si>
    <t>Saia Inc</t>
  </si>
  <si>
    <t>SAIA US</t>
  </si>
  <si>
    <t>EMCOR Group Inc</t>
  </si>
  <si>
    <t>EME US</t>
  </si>
  <si>
    <t>Argan Inc</t>
  </si>
  <si>
    <t>AGX US</t>
  </si>
  <si>
    <t>MasTec Inc</t>
  </si>
  <si>
    <t>MTZ US</t>
  </si>
  <si>
    <t>Dycom Industries Inc</t>
  </si>
  <si>
    <t>DY US</t>
  </si>
  <si>
    <t>Owens Corning</t>
  </si>
  <si>
    <t>OC US</t>
  </si>
  <si>
    <t>BWX Technologies Inc</t>
  </si>
  <si>
    <t>BWXT US</t>
  </si>
  <si>
    <t>Kratos Defense &amp; Security Solutions Inc</t>
  </si>
  <si>
    <t>KTOS US</t>
  </si>
  <si>
    <t>Huntington Ingalls Industries Inc</t>
  </si>
  <si>
    <t>HII US</t>
  </si>
  <si>
    <t>Clean Harbors Inc</t>
  </si>
  <si>
    <t>CLH US</t>
  </si>
  <si>
    <t>FNB Corp/PA</t>
  </si>
  <si>
    <t>FNB US</t>
  </si>
  <si>
    <t>Core &amp; Main Inc Class A</t>
  </si>
  <si>
    <t>CNM US</t>
  </si>
  <si>
    <t>IES Holdings Inc</t>
  </si>
  <si>
    <t>IESC US</t>
  </si>
  <si>
    <t>Advanced Drainage Systems Inc</t>
  </si>
  <si>
    <t>WMS US</t>
  </si>
  <si>
    <t>Fonte: Bloomberg, AIRR US Equity — telas DES (Profile) e Holder Ownership. Holdings filing: 09/06/2026. % = % do patrimonio liquido (% Net). Transcrito de print; conferir pesos/MV antes de uso final.</t>
  </si>
  <si>
    <t>EUV US  —  Corgi Lithography &amp; Semiconductor Photonics ETF</t>
  </si>
  <si>
    <t>ETF dos EUA, gestao ativa, busca apreciacao de capital investindo em empresas envolvidas em fotonica e tecnologias baseadas em luz, incluindo litografia EUV e ferramentas de fabricacao/inspecao de semicondutores.</t>
  </si>
  <si>
    <t>HOLDINGS  (top 18 de 40)</t>
  </si>
  <si>
    <t>TSM US</t>
  </si>
  <si>
    <t>ASML Holding NV - Depositary Receipt</t>
  </si>
  <si>
    <t>ASML US</t>
  </si>
  <si>
    <t>Lam Research Corp</t>
  </si>
  <si>
    <t>LRCX US</t>
  </si>
  <si>
    <t>Applied Materials Inc</t>
  </si>
  <si>
    <t>AMAT US</t>
  </si>
  <si>
    <t>KLA Corp</t>
  </si>
  <si>
    <t>KLAC US</t>
  </si>
  <si>
    <t>Corning Inc</t>
  </si>
  <si>
    <t>GLW US</t>
  </si>
  <si>
    <t>Coherent Corp</t>
  </si>
  <si>
    <t>COHR US</t>
  </si>
  <si>
    <t>Lumentum Holdings Inc</t>
  </si>
  <si>
    <t>LITE US</t>
  </si>
  <si>
    <t>Ciena Corp</t>
  </si>
  <si>
    <t>CIEN US</t>
  </si>
  <si>
    <t>MACOM Technology Solutions Holdings Inc</t>
  </si>
  <si>
    <t>MTSI US</t>
  </si>
  <si>
    <t>Credo Technology Group Holding Ltd</t>
  </si>
  <si>
    <t>CRDO US</t>
  </si>
  <si>
    <t>Nova Ltd</t>
  </si>
  <si>
    <t>NVMI US</t>
  </si>
  <si>
    <t>Entegris Inc</t>
  </si>
  <si>
    <t>ENTG US</t>
  </si>
  <si>
    <t>Fabrinet</t>
  </si>
  <si>
    <t>FN US</t>
  </si>
  <si>
    <t>Onto Innovation Inc</t>
  </si>
  <si>
    <t>ONTO US</t>
  </si>
  <si>
    <t>Novanta Inc</t>
  </si>
  <si>
    <t>NOVT US</t>
  </si>
  <si>
    <t>Fonte: Bloomberg, EUV US Equity — telas DES (Profile) e Holder Ownership. Holdings filing: 09/06/2026. % = % do patrimonio liquido (% Net). Transcrito de print; conferir pesos/MV antes de uso final.</t>
  </si>
  <si>
    <t>FOTO US  —  Tuttle Capital Pure Play Photonics ETF</t>
  </si>
  <si>
    <t>ETF dos EUA, gestao ativa, busca renda corrente e (secundariamente) apreciacao de capital de longo prazo. Investe &gt;=80% do patrimonio em acoes de empresas cuja operacao principal e diretamente ligada a fotonica.</t>
  </si>
  <si>
    <t>IPG Photonics Corp</t>
  </si>
  <si>
    <t>IPGP US</t>
  </si>
  <si>
    <t>nLight Inc</t>
  </si>
  <si>
    <t>LASR US</t>
  </si>
  <si>
    <t>Applied Optoelectronics Inc</t>
  </si>
  <si>
    <t>AAOI US</t>
  </si>
  <si>
    <t>Viavi Solutions Inc</t>
  </si>
  <si>
    <t>VIAV US</t>
  </si>
  <si>
    <t>MKS Inc</t>
  </si>
  <si>
    <t>MKSI US</t>
  </si>
  <si>
    <t>Aeva Technologies Inc</t>
  </si>
  <si>
    <t>AEVA US</t>
  </si>
  <si>
    <t>Photronics Inc</t>
  </si>
  <si>
    <t>PLAB US</t>
  </si>
  <si>
    <t>Lightwave Logic Inc</t>
  </si>
  <si>
    <t>LWLG US</t>
  </si>
  <si>
    <t>POET Technologies Inc</t>
  </si>
  <si>
    <t>POET US</t>
  </si>
  <si>
    <t>Fonte: Bloomberg, FOTO US Equity — telas DES (Profile) e Holder Ownership. Holdings filing: 09/06/2026. % = % do patrimonio liquido (% Net). Transcrito de print; conferir pesos/MV antes de uso final.</t>
  </si>
  <si>
    <t>PICK US  —  iShares MSCI Global Select Metals &amp; Mining Producers ETF</t>
  </si>
  <si>
    <t>ETF dos EUA que replica o MSCI ACWI Select Metals &amp; Mining Producers Ex Gold &amp; Silver IMI. Exposicao global a produtores de metais e mineracao, exceto ouro e prata.</t>
  </si>
  <si>
    <t>HOLDINGS  (top 18 de 261)</t>
  </si>
  <si>
    <t>BHP Group Ltd</t>
  </si>
  <si>
    <t>BHP AU</t>
  </si>
  <si>
    <t>Rio Tinto PLC</t>
  </si>
  <si>
    <t>RIO LN</t>
  </si>
  <si>
    <t>Freeport-McMoRan Inc</t>
  </si>
  <si>
    <t>FCX US</t>
  </si>
  <si>
    <t>Glencore PLC</t>
  </si>
  <si>
    <t>GLEN LN</t>
  </si>
  <si>
    <t>Nucor Corp</t>
  </si>
  <si>
    <t>NUE US</t>
  </si>
  <si>
    <t>Vale SA Common Shares</t>
  </si>
  <si>
    <t>VALE3 BZ</t>
  </si>
  <si>
    <t>Anglo American PLC</t>
  </si>
  <si>
    <t>AAL LN</t>
  </si>
  <si>
    <t>Rio Tinto Ltd Ordinary Shares</t>
  </si>
  <si>
    <t>RIO AU</t>
  </si>
  <si>
    <t>Steel Dynamics Inc</t>
  </si>
  <si>
    <t>STLD US</t>
  </si>
  <si>
    <t>Grupo Mexico SAB de CV</t>
  </si>
  <si>
    <t>GMEXICOB MM</t>
  </si>
  <si>
    <t>Teck Resources Ltd Class B</t>
  </si>
  <si>
    <t>TECK/B CN</t>
  </si>
  <si>
    <t>ArcelorMittal SA</t>
  </si>
  <si>
    <t>MT NA</t>
  </si>
  <si>
    <t>Fortescue Ltd</t>
  </si>
  <si>
    <t>FMG AU</t>
  </si>
  <si>
    <t>Reliance Inc</t>
  </si>
  <si>
    <t>RS US</t>
  </si>
  <si>
    <t>First Quantum Minerals Ltd</t>
  </si>
  <si>
    <t>FM CN</t>
  </si>
  <si>
    <t>Alcoa Corp</t>
  </si>
  <si>
    <t>AA US</t>
  </si>
  <si>
    <t>Valterra Platinum Ltd</t>
  </si>
  <si>
    <t>VAL SJ</t>
  </si>
  <si>
    <t>Saudi Arabian Mining Co</t>
  </si>
  <si>
    <t>MAADEN AB</t>
  </si>
  <si>
    <t>Fonte: Bloomberg, PICK US Equity — telas DES (Profile) e Holder Ownership. Holdings filing: 09/06/2026. % = % do patrimonio liquido (% Net). Transcrito de print; conferir pesos/MV antes de uso final.</t>
  </si>
  <si>
    <t>COPX US  —  Global X Copper Miners ETF</t>
  </si>
  <si>
    <t>ETF dos EUA que replica o Solactive Global Copper Miners Index. Exposicao global pura a mineradoras de cobre.</t>
  </si>
  <si>
    <t>HOLDINGS  (top 18 de 51)</t>
  </si>
  <si>
    <t>Hudbay Minerals Inc</t>
  </si>
  <si>
    <t>HBM US</t>
  </si>
  <si>
    <t>Antofagasta PLC</t>
  </si>
  <si>
    <t>ANTO LN</t>
  </si>
  <si>
    <t>KGHM Polska Miedz SA</t>
  </si>
  <si>
    <t>KGH PW</t>
  </si>
  <si>
    <t>Boliden AB</t>
  </si>
  <si>
    <t>BOL SS</t>
  </si>
  <si>
    <t>Southern Copper Corp</t>
  </si>
  <si>
    <t>SCCO US</t>
  </si>
  <si>
    <t>Lundin Mining Corp</t>
  </si>
  <si>
    <t>LUN CN</t>
  </si>
  <si>
    <t>Zijin Mining Group Co Ltd H</t>
  </si>
  <si>
    <t>2899 HK</t>
  </si>
  <si>
    <t>Sumitomo Metal Mining Co Ltd</t>
  </si>
  <si>
    <t>5713 JP</t>
  </si>
  <si>
    <t>Ivanhoe Mines Ltd</t>
  </si>
  <si>
    <t>IVN CN</t>
  </si>
  <si>
    <t>Capstone Copper Corp</t>
  </si>
  <si>
    <t>CS CN</t>
  </si>
  <si>
    <t>Sandfire Resources Ltd</t>
  </si>
  <si>
    <t>SFR AU</t>
  </si>
  <si>
    <t>Aurubis AG</t>
  </si>
  <si>
    <t>NDA GR</t>
  </si>
  <si>
    <t>Jiangxi Copper Co Ltd H</t>
  </si>
  <si>
    <t>358 HK</t>
  </si>
  <si>
    <t>Fonte: Bloomberg, COPX US Equity — telas DES (Profile) e Holder Ownership. Holdings filing: 08/06/2026. % = % do patrimonio liquido (% Net). Transcrito de print; conferir pesos/MV antes de uso final.</t>
  </si>
  <si>
    <t>LOHA US  —  Roundhill HALO ETF</t>
  </si>
  <si>
    <t>ETF dos EUA que replica o Akros U.S. Heavy Assets Low Obsolescence (HALO) Index. Investe &gt;=80% em acoes do indice — empresas com ativos pesados e baixa obsolescencia. Ponderacao equal-weight.</t>
  </si>
  <si>
    <t>HOLDINGS  (top 18 de 101)</t>
  </si>
  <si>
    <t>TFI International Inc</t>
  </si>
  <si>
    <t>TFII CN</t>
  </si>
  <si>
    <t>JB Hunt Transport Services Inc</t>
  </si>
  <si>
    <t>JBHT US</t>
  </si>
  <si>
    <t>Cummins Inc</t>
  </si>
  <si>
    <t>CMI US</t>
  </si>
  <si>
    <t>Ryder System Inc</t>
  </si>
  <si>
    <t>R US</t>
  </si>
  <si>
    <t>Lennox International Inc</t>
  </si>
  <si>
    <t>LII US</t>
  </si>
  <si>
    <t>AutoZone Inc</t>
  </si>
  <si>
    <t>AZO US</t>
  </si>
  <si>
    <t>James Hardie Industries PLC</t>
  </si>
  <si>
    <t>JHX US</t>
  </si>
  <si>
    <t>Delta Air Lines Inc</t>
  </si>
  <si>
    <t>DAL US</t>
  </si>
  <si>
    <t>Masco Corp</t>
  </si>
  <si>
    <t>MAS US</t>
  </si>
  <si>
    <t>United Airlines Holdings Inc</t>
  </si>
  <si>
    <t>UAL US</t>
  </si>
  <si>
    <t>CSX Corp</t>
  </si>
  <si>
    <t>CSX US</t>
  </si>
  <si>
    <t>Matson Inc</t>
  </si>
  <si>
    <t>MATX US</t>
  </si>
  <si>
    <t>Magna International Inc</t>
  </si>
  <si>
    <t>MG CN</t>
  </si>
  <si>
    <t>Autoliv Inc</t>
  </si>
  <si>
    <t>ALV US</t>
  </si>
  <si>
    <t>Canadian National Railway Co</t>
  </si>
  <si>
    <t>CNR CN</t>
  </si>
  <si>
    <t>Lamar Advertising Co Class A</t>
  </si>
  <si>
    <t>LAMR US</t>
  </si>
  <si>
    <t>Ferrari NV Common Shares</t>
  </si>
  <si>
    <t>RACE US</t>
  </si>
  <si>
    <t>Fonte: Bloomberg, LOHA US Equity — telas DES (Profile) e Holder Ownership. Holdings filing: 09/06/2026. % = % do patrimonio liquido (% Net). Transcrito de print; conferir pesos/MV antes de uso final.</t>
  </si>
  <si>
    <t>JEDI LN  —  VanEck Space Innovators UCITS ETF</t>
  </si>
  <si>
    <t>ETF UCITS domiciliado na Irlanda que replica o MarketVector Global Space Industry Screened Index. Exposicao global a empresas do setor espacial (lancamento, satelites, comunicacoes).</t>
  </si>
  <si>
    <t>Rocket Lab Corp Common Shares</t>
  </si>
  <si>
    <t>RKLB US</t>
  </si>
  <si>
    <t>Viasat Inc</t>
  </si>
  <si>
    <t>VSAT US</t>
  </si>
  <si>
    <t>Planet Labs PBC Class A</t>
  </si>
  <si>
    <t>PL US</t>
  </si>
  <si>
    <t>AST SpaceMobile Inc Class A</t>
  </si>
  <si>
    <t>ASTS US</t>
  </si>
  <si>
    <t>EchoStar Corp Class A</t>
  </si>
  <si>
    <t>SATS US</t>
  </si>
  <si>
    <t>Globalstar Inc Voting C/S</t>
  </si>
  <si>
    <t>GSAT US</t>
  </si>
  <si>
    <t>Intuitive Machines Inc Class A</t>
  </si>
  <si>
    <t>LUNR US</t>
  </si>
  <si>
    <t>Firefly Aerospace Inc</t>
  </si>
  <si>
    <t>FLY US</t>
  </si>
  <si>
    <t>WNC Corp /Taiwan Common Shares</t>
  </si>
  <si>
    <t>6285 TT</t>
  </si>
  <si>
    <t>MDA Space Ltd</t>
  </si>
  <si>
    <t>MDA CN</t>
  </si>
  <si>
    <t>Iridium Communications Inc</t>
  </si>
  <si>
    <t>IRDM US</t>
  </si>
  <si>
    <t>SES SA - Depositary Receipt</t>
  </si>
  <si>
    <t>SESG FP</t>
  </si>
  <si>
    <t>SKY Perfect JSAT Corp</t>
  </si>
  <si>
    <t>9412 JP</t>
  </si>
  <si>
    <t>Melrose Industries PLC</t>
  </si>
  <si>
    <t>MRO LN</t>
  </si>
  <si>
    <t>NextNav Inc</t>
  </si>
  <si>
    <t>NN US</t>
  </si>
  <si>
    <t>Ducommun Inc</t>
  </si>
  <si>
    <t>DCO US</t>
  </si>
  <si>
    <t>Redwire Corp</t>
  </si>
  <si>
    <t>RDW US</t>
  </si>
  <si>
    <t>Hanwha Aerospace Co Ltd</t>
  </si>
  <si>
    <t>012450 KS</t>
  </si>
  <si>
    <t>Fonte: Bloomberg, JEDI LN Equity — telas DES (Profile) e Holder Ownership. Holdings filing: 08/06/2026. % = % do patrimonio liquido (% Net). Transcrito de print; conferir pesos/MV antes de uso final.</t>
  </si>
  <si>
    <t>QTUM US  —  Defiance Quantum ETF</t>
  </si>
  <si>
    <t>ETF dos EUA que replica o BlueStar Quantum Computing and Machine Learning Index — empresas cujos produtos/servicos estao predominantemente ligados ao desenvolvimento de computacao quantica e machine learning. Ponderacao equal-weight.</t>
  </si>
  <si>
    <t>HOLDINGS  (top 18 de 84)</t>
  </si>
  <si>
    <t>STMicroelectronics NV - Depositary Receipt</t>
  </si>
  <si>
    <t>STM US</t>
  </si>
  <si>
    <t>MediaTek Inc</t>
  </si>
  <si>
    <t>2454 TT</t>
  </si>
  <si>
    <t>ARM Holdings PLC - Depositary Receipt</t>
  </si>
  <si>
    <t>ARM US</t>
  </si>
  <si>
    <t>Nokia Oyj - Depositary Receipt</t>
  </si>
  <si>
    <t>NOK US</t>
  </si>
  <si>
    <t>ON Semiconductor Corp</t>
  </si>
  <si>
    <t>ON US</t>
  </si>
  <si>
    <t>Infineon Technologies AG</t>
  </si>
  <si>
    <t>IFX GR</t>
  </si>
  <si>
    <t>Astera Labs Inc</t>
  </si>
  <si>
    <t>ALAB US</t>
  </si>
  <si>
    <t>Hewlett Packard Enterprise Co</t>
  </si>
  <si>
    <t>HPE US</t>
  </si>
  <si>
    <t>Global Unichip Corp</t>
  </si>
  <si>
    <t>3443 TT</t>
  </si>
  <si>
    <t>Renesas Electronics Corp</t>
  </si>
  <si>
    <t>6723 JP</t>
  </si>
  <si>
    <t>Fonte: Bloomberg, QTUM US Equity — telas DES (Profile) e Holder Ownership. Holdings filing: 09/06/2026. % = % do patrimonio liquido (% Net). Transcrito de print; conferir pesos/MV antes de uso final.</t>
  </si>
  <si>
    <t>JEDI US  —  Defiance Drone &amp; Modern Warfare ETF</t>
  </si>
  <si>
    <t>ETF dos EUA que replica o BITA Drone &amp; Modern Warfare Select Index. Exposicao a drones, guerra moderna, aeroespacial e tecnologias de defesa. ATENCAO: root 'JEDI' coincide com o VanEck Space Innovators (JEDI LN) — sao fundos distintos.</t>
  </si>
  <si>
    <t>HOLDINGS  (top 18 de 44)</t>
  </si>
  <si>
    <t>Unusual Machines Inc</t>
  </si>
  <si>
    <t>UMAC US</t>
  </si>
  <si>
    <t>Ondas Inc</t>
  </si>
  <si>
    <t>ONDS US</t>
  </si>
  <si>
    <t>C3.ai Inc Class A</t>
  </si>
  <si>
    <t>AI US</t>
  </si>
  <si>
    <t>Red Cat Holdings Inc</t>
  </si>
  <si>
    <t>RCAT US</t>
  </si>
  <si>
    <t>Archer Aviation Inc</t>
  </si>
  <si>
    <t>ACHR US</t>
  </si>
  <si>
    <t>BlackSky Technology Inc Class A</t>
  </si>
  <si>
    <t>BKSY US</t>
  </si>
  <si>
    <t>AeroVironment Inc</t>
  </si>
  <si>
    <t>AVAV US</t>
  </si>
  <si>
    <t>Frequency Electronics Inc</t>
  </si>
  <si>
    <t>FEIM US</t>
  </si>
  <si>
    <t>Joby Aviation Inc</t>
  </si>
  <si>
    <t>JOBY US</t>
  </si>
  <si>
    <t>Electro Optic Systems Holdings Ltd</t>
  </si>
  <si>
    <t>EOS AU</t>
  </si>
  <si>
    <t>Spire Global Inc Class A</t>
  </si>
  <si>
    <t>SPIR US</t>
  </si>
  <si>
    <t>AIRO Group Holdings Inc</t>
  </si>
  <si>
    <t>AIRO US</t>
  </si>
  <si>
    <t>Fonte: Bloomberg, JEDI US Equity — telas DES (Profile) e Holder Ownership. Holdings filing: 09/06/2026. % = % do patrimonio liquido (% Net). Transcrito de print; conferir pesos/MV antes de uso final.</t>
  </si>
  <si>
    <t>REMX US  —  VanEck Rare Earth and Strategic Metals ETF</t>
  </si>
  <si>
    <t>ETF dos EUA que replica o MVIS Rare Earth/Strategic Metals Index. Constituintes sao majoritariamente mineradoras domiciliadas em EUA, China e Australia. Rebalanceamento trimestral, ponderacao por market cap.</t>
  </si>
  <si>
    <t>PLS Group Ltd</t>
  </si>
  <si>
    <t>PLS AU</t>
  </si>
  <si>
    <t>Albemarle Corp</t>
  </si>
  <si>
    <t>ALB US</t>
  </si>
  <si>
    <t>Lynas Rare Earths Ltd</t>
  </si>
  <si>
    <t>LYC AU</t>
  </si>
  <si>
    <t>China Northern Rare Earth Group High-Tech Co</t>
  </si>
  <si>
    <t>600111 CH</t>
  </si>
  <si>
    <t>MP Materials Corp</t>
  </si>
  <si>
    <t>MP US</t>
  </si>
  <si>
    <t>Liontown Ltd</t>
  </si>
  <si>
    <t>LTR AU</t>
  </si>
  <si>
    <t>Xiamen Tungsten Co Ltd</t>
  </si>
  <si>
    <t>600549 CH</t>
  </si>
  <si>
    <t>Sociedad Quimica y Minera de Chile SA</t>
  </si>
  <si>
    <t>SQM US</t>
  </si>
  <si>
    <t>Jinduicheng Molybdenum Co Ltd</t>
  </si>
  <si>
    <t>601958 CH</t>
  </si>
  <si>
    <t>Shenghe Resources Holding Co Ltd</t>
  </si>
  <si>
    <t>600392 CH</t>
  </si>
  <si>
    <t>Ganfeng Lithium Group Co Ltd H Shares</t>
  </si>
  <si>
    <t>1772 HK</t>
  </si>
  <si>
    <t>Iluka Resources Ltd</t>
  </si>
  <si>
    <t>ILU AU</t>
  </si>
  <si>
    <t>Almonty Industries Inc</t>
  </si>
  <si>
    <t>AII CN</t>
  </si>
  <si>
    <t>Lithium Americas Corp</t>
  </si>
  <si>
    <t>LAC CN</t>
  </si>
  <si>
    <t>AMG Critical Materials NV</t>
  </si>
  <si>
    <t>AMG NA</t>
  </si>
  <si>
    <t>Hubei Zhenhua Chemical Co Ltd</t>
  </si>
  <si>
    <t>603067 CH</t>
  </si>
  <si>
    <t>Lithium Argentina AG</t>
  </si>
  <si>
    <t>LAR CN</t>
  </si>
  <si>
    <t>Sigma Lithium Corp</t>
  </si>
  <si>
    <t>SGML CN</t>
  </si>
  <si>
    <t>Fonte: Bloomberg, REMX US Equity — telas DES (Profile) e Holder Ownership. Holdings filing: 10/06/2026. % = % do patrimonio liquido (% Net). Transcrito de print; conferir pesos/MV antes de uso final.</t>
  </si>
  <si>
    <t>Overlap entre os ETFs</t>
  </si>
  <si>
    <t>Cada linha = um ativo (por ticker). Marca em quantos e quais ETFs aparece, com o peso em cada. Base para o look-through: ordenado por nº de fundos em que aparece.</t>
  </si>
  <si>
    <t>Nº ETFs</t>
  </si>
  <si>
    <t>Nota: overlap calculado apenas sobre as posicoes transcritas (top de cada fundo). Como a maioria dos arquivos esta truncada, sobreposicoes adicionais podem existir nas posicoes nao listadas.</t>
  </si>
  <si>
    <t>DRAM US Equity</t>
  </si>
  <si>
    <t>DTCR US Equity</t>
  </si>
  <si>
    <t>VOLT US Equity</t>
  </si>
  <si>
    <t>AIRR US Equity</t>
  </si>
  <si>
    <t>EUV US Equity</t>
  </si>
  <si>
    <t>FOTO US Equity</t>
  </si>
  <si>
    <t>PICK US Equity</t>
  </si>
  <si>
    <t>COPX US Equity</t>
  </si>
  <si>
    <t>LOHA US Equity</t>
  </si>
  <si>
    <t>JEDI LN Equity</t>
  </si>
  <si>
    <t>QTUM US Equity</t>
  </si>
  <si>
    <t>JEDI US Equity</t>
  </si>
  <si>
    <t>REMX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</si>
</sst>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;\(#,##0\);\-"/>
    <numFmt numFmtId="167" formatCode="0.0%"/>
  </numFmts>
  <fonts count="20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b/>
      <sz val="10"/>
      <color rgb="FF2E5496"/>
      <name val="Arial"/>
      <charset val="1"/>
    </font>
    <font>
      <sz val="10"/>
      <name val="Arial"/>
      <charset val="1"/>
    </font>
    <font>
      <b/>
      <sz val="15"/>
      <color rgb="FFFFFFFF"/>
      <name val="Arial"/>
      <charset val="1"/>
    </font>
    <font>
      <b/>
      <sz val="11"/>
      <color rgb="FFC9A227"/>
      <name val="Arial"/>
      <charset val="1"/>
    </font>
    <font>
      <b/>
      <sz val="9"/>
      <color rgb="FF000000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sz val="9"/>
      <color rgb="FF808080"/>
      <name val="Arial"/>
      <charset val="1"/>
    </font>
    <font>
      <sz val="9"/>
      <color rgb="FF2E5496"/>
      <name val="Arial"/>
      <charset val="1"/>
    </font>
    <font>
      <b/>
      <sz val="9"/>
      <name val="Arial"/>
      <charset val="1"/>
    </font>
    <font>
      <i/>
      <sz val="8"/>
      <color rgb="FF808080"/>
      <name val="Arial"/>
      <charset val="1"/>
    </font>
    <font>
      <b/>
      <sz val="16"/>
      <color rgb="FF1F3864"/>
      <name val="Arial"/>
      <charset val="1"/>
    </font>
    <font>
      <b/>
      <sz val="8"/>
      <color rgb="FFFFFFFF"/>
      <name val="Arial"/>
      <charset val="1"/>
    </font>
    <font>
      <b/>
      <sz val="9"/>
      <color rgb="FF2E5496"/>
      <name val="Arial"/>
      <charset val="1"/>
    </font>
    <font>
      <b/>
      <sz val="9"/>
      <color rgb="FFC00000"/>
      <name val="Arial"/>
      <charset val="1"/>
    </font>
    <font>
      <sz val="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F1F9"/>
        <bgColor rgb="FFFFFFFF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DF1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4" fillId="0" borderId="0" xfId="0" applyFont="1"/>
    <xf numFmtId="0" fontId="1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/>
    <xf numFmtId="0" fontId="6" fillId="2" borderId="0" xfId="0" applyFont="1" applyFill="1" applyAlignment="1">
      <alignment horizontal="left" vertical="center" inden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0" fontId="5" fillId="0" borderId="1" xfId="0" applyNumberFormat="1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0" fontId="5" fillId="3" borderId="1" xfId="0" applyNumberFormat="1" applyFont="1" applyFill="1" applyBorder="1" applyAlignment="1">
      <alignment vertical="center"/>
    </xf>
    <xf numFmtId="0" fontId="10" fillId="4" borderId="0" xfId="0" applyFont="1" applyFill="1" applyAlignment="1">
      <alignment horizontal="center" vertical="center" wrapText="1"/>
    </xf>
    <xf numFmtId="0" fontId="11" fillId="0" borderId="1" xfId="0" applyFont="1" applyBorder="1"/>
    <xf numFmtId="0" fontId="9" fillId="0" borderId="1" xfId="0" applyFont="1" applyBorder="1"/>
    <xf numFmtId="0" fontId="12" fillId="0" borderId="1" xfId="0" applyFont="1" applyBorder="1"/>
    <xf numFmtId="10" fontId="9" fillId="0" borderId="1" xfId="0" applyNumberFormat="1" applyFont="1" applyBorder="1"/>
    <xf numFmtId="166" fontId="9" fillId="0" borderId="1" xfId="0" applyNumberFormat="1" applyFont="1" applyBorder="1"/>
    <xf numFmtId="10" fontId="11" fillId="0" borderId="1" xfId="0" applyNumberFormat="1" applyFont="1" applyBorder="1"/>
    <xf numFmtId="0" fontId="11" fillId="3" borderId="1" xfId="0" applyFont="1" applyFill="1" applyBorder="1"/>
    <xf numFmtId="0" fontId="9" fillId="3" borderId="1" xfId="0" applyFont="1" applyFill="1" applyBorder="1"/>
    <xf numFmtId="0" fontId="12" fillId="3" borderId="1" xfId="0" applyFont="1" applyFill="1" applyBorder="1"/>
    <xf numFmtId="10" fontId="9" fillId="3" borderId="1" xfId="0" applyNumberFormat="1" applyFont="1" applyFill="1" applyBorder="1"/>
    <xf numFmtId="166" fontId="9" fillId="3" borderId="1" xfId="0" applyNumberFormat="1" applyFont="1" applyFill="1" applyBorder="1"/>
    <xf numFmtId="10" fontId="11" fillId="3" borderId="1" xfId="0" applyNumberFormat="1" applyFont="1" applyFill="1" applyBorder="1"/>
    <xf numFmtId="0" fontId="13" fillId="5" borderId="0" xfId="0" applyFont="1" applyFill="1"/>
    <xf numFmtId="0" fontId="0" fillId="5" borderId="0" xfId="0" applyFill="1"/>
    <xf numFmtId="10" fontId="13" fillId="5" borderId="0" xfId="0" applyNumberFormat="1" applyFont="1" applyFill="1"/>
    <xf numFmtId="166" fontId="13" fillId="5" borderId="0" xfId="0" applyNumberFormat="1" applyFont="1" applyFill="1"/>
    <xf numFmtId="0" fontId="15" fillId="0" borderId="0" xfId="0" applyFont="1"/>
    <xf numFmtId="0" fontId="16" fillId="4" borderId="0" xfId="0" applyFont="1" applyFill="1" applyAlignment="1">
      <alignment horizontal="center" vertical="center" wrapText="1"/>
    </xf>
    <xf numFmtId="0" fontId="17" fillId="5" borderId="1" xfId="0" applyFont="1" applyFill="1" applyBorder="1"/>
    <xf numFmtId="0" fontId="13" fillId="5" borderId="1" xfId="0" applyFont="1" applyFill="1" applyBorder="1"/>
    <xf numFmtId="0" fontId="18" fillId="5" borderId="1" xfId="0" applyFont="1" applyFill="1" applyBorder="1" applyAlignment="1">
      <alignment horizontal="center"/>
    </xf>
    <xf numFmtId="0" fontId="0" fillId="0" borderId="1" xfId="0" applyBorder="1"/>
    <xf numFmtId="167" fontId="19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7" fontId="19" fillId="3" borderId="1" xfId="0" applyNumberFormat="1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F1F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2.5546875" customWidth="1"/>
    <col min="2" max="2" width="42" customWidth="1"/>
    <col min="3" max="3" width="18" customWidth="1"/>
    <col min="4" max="4" width="22" customWidth="1"/>
    <col min="5" max="5" width="16" customWidth="1"/>
    <col min="6" max="7" width="7" customWidth="1"/>
  </cols>
  <sheetData>
    <row r="1" spans="1:7" ht="22.8" x14ac:dyDescent="0.4">
      <c r="A1" s="6" t="s">
        <v>0</v>
      </c>
    </row>
    <row r="2" spans="1:7" x14ac:dyDescent="0.3">
      <c r="A2" s="7" t="s">
        <v>1</v>
      </c>
    </row>
    <row r="4" spans="1:7" x14ac:dyDescent="0.3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</row>
    <row r="5" spans="1:7" x14ac:dyDescent="0.3">
      <c r="A5" s="9" t="s">
        <v>502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1">
        <v>6.4999999999999997E-3</v>
      </c>
    </row>
    <row r="6" spans="1:7" x14ac:dyDescent="0.3">
      <c r="A6" s="12" t="s">
        <v>503</v>
      </c>
      <c r="B6" s="13" t="s">
        <v>16</v>
      </c>
      <c r="C6" s="13" t="s">
        <v>17</v>
      </c>
      <c r="D6" s="13" t="s">
        <v>18</v>
      </c>
      <c r="E6" s="13" t="s">
        <v>13</v>
      </c>
      <c r="F6" s="13" t="s">
        <v>14</v>
      </c>
      <c r="G6" s="14">
        <v>5.0000000000000001E-3</v>
      </c>
    </row>
    <row r="7" spans="1:7" x14ac:dyDescent="0.3">
      <c r="A7" s="9" t="s">
        <v>504</v>
      </c>
      <c r="B7" s="10" t="s">
        <v>20</v>
      </c>
      <c r="C7" s="10" t="s">
        <v>21</v>
      </c>
      <c r="D7" s="10" t="s">
        <v>18</v>
      </c>
      <c r="E7" s="10" t="s">
        <v>13</v>
      </c>
      <c r="F7" s="10" t="s">
        <v>14</v>
      </c>
      <c r="G7" s="11">
        <v>7.4999999999999997E-3</v>
      </c>
    </row>
    <row r="8" spans="1:7" x14ac:dyDescent="0.3">
      <c r="A8" s="12" t="s">
        <v>505</v>
      </c>
      <c r="B8" s="13" t="s">
        <v>23</v>
      </c>
      <c r="C8" s="13" t="s">
        <v>24</v>
      </c>
      <c r="D8" s="13" t="s">
        <v>25</v>
      </c>
      <c r="E8" s="13" t="s">
        <v>13</v>
      </c>
      <c r="F8" s="13" t="s">
        <v>14</v>
      </c>
      <c r="G8" s="14">
        <v>6.8999999999999999E-3</v>
      </c>
    </row>
    <row r="9" spans="1:7" x14ac:dyDescent="0.3">
      <c r="A9" s="9" t="s">
        <v>506</v>
      </c>
      <c r="B9" s="10" t="s">
        <v>27</v>
      </c>
      <c r="C9" s="10" t="s">
        <v>28</v>
      </c>
      <c r="D9" s="10" t="s">
        <v>18</v>
      </c>
      <c r="E9" s="10" t="s">
        <v>13</v>
      </c>
      <c r="F9" s="10" t="s">
        <v>14</v>
      </c>
      <c r="G9" s="11">
        <v>3.5000000000000001E-3</v>
      </c>
    </row>
    <row r="10" spans="1:7" x14ac:dyDescent="0.3">
      <c r="A10" s="12" t="s">
        <v>507</v>
      </c>
      <c r="B10" s="13" t="s">
        <v>30</v>
      </c>
      <c r="C10" s="13" t="s">
        <v>31</v>
      </c>
      <c r="D10" s="13" t="s">
        <v>18</v>
      </c>
      <c r="E10" s="13" t="s">
        <v>13</v>
      </c>
      <c r="F10" s="13" t="s">
        <v>14</v>
      </c>
      <c r="G10" s="14">
        <v>7.4999999999999997E-3</v>
      </c>
    </row>
    <row r="11" spans="1:7" x14ac:dyDescent="0.3">
      <c r="A11" s="9" t="s">
        <v>508</v>
      </c>
      <c r="B11" s="10" t="s">
        <v>33</v>
      </c>
      <c r="C11" s="10" t="s">
        <v>34</v>
      </c>
      <c r="D11" s="10" t="s">
        <v>35</v>
      </c>
      <c r="E11" s="10" t="s">
        <v>13</v>
      </c>
      <c r="F11" s="10" t="s">
        <v>14</v>
      </c>
      <c r="G11" s="11">
        <v>3.8999999999999998E-3</v>
      </c>
    </row>
    <row r="12" spans="1:7" x14ac:dyDescent="0.3">
      <c r="A12" s="12" t="s">
        <v>509</v>
      </c>
      <c r="B12" s="13" t="s">
        <v>37</v>
      </c>
      <c r="C12" s="13" t="s">
        <v>17</v>
      </c>
      <c r="D12" s="13" t="s">
        <v>35</v>
      </c>
      <c r="E12" s="13" t="s">
        <v>13</v>
      </c>
      <c r="F12" s="13" t="s">
        <v>14</v>
      </c>
      <c r="G12" s="14">
        <v>6.4999999999999997E-3</v>
      </c>
    </row>
    <row r="13" spans="1:7" x14ac:dyDescent="0.3">
      <c r="A13" s="9" t="s">
        <v>510</v>
      </c>
      <c r="B13" s="10" t="s">
        <v>39</v>
      </c>
      <c r="C13" s="10" t="s">
        <v>11</v>
      </c>
      <c r="D13" s="10" t="s">
        <v>40</v>
      </c>
      <c r="E13" s="10" t="s">
        <v>13</v>
      </c>
      <c r="F13" s="10" t="s">
        <v>14</v>
      </c>
      <c r="G13" s="11">
        <v>3.5000000000000001E-3</v>
      </c>
    </row>
    <row r="14" spans="1:7" x14ac:dyDescent="0.3">
      <c r="A14" s="12" t="s">
        <v>511</v>
      </c>
      <c r="B14" s="13" t="s">
        <v>42</v>
      </c>
      <c r="C14" s="13" t="s">
        <v>43</v>
      </c>
      <c r="D14" s="13" t="s">
        <v>18</v>
      </c>
      <c r="E14" s="13" t="s">
        <v>44</v>
      </c>
      <c r="F14" s="13" t="s">
        <v>14</v>
      </c>
      <c r="G14" s="14">
        <v>5.4999999999999997E-3</v>
      </c>
    </row>
    <row r="15" spans="1:7" x14ac:dyDescent="0.3">
      <c r="A15" s="9" t="s">
        <v>512</v>
      </c>
      <c r="B15" s="10" t="s">
        <v>46</v>
      </c>
      <c r="C15" s="10" t="s">
        <v>47</v>
      </c>
      <c r="D15" s="10" t="s">
        <v>12</v>
      </c>
      <c r="E15" s="10" t="s">
        <v>13</v>
      </c>
      <c r="F15" s="10" t="s">
        <v>14</v>
      </c>
      <c r="G15" s="11">
        <v>4.0000000000000001E-3</v>
      </c>
    </row>
    <row r="16" spans="1:7" x14ac:dyDescent="0.3">
      <c r="A16" s="12" t="s">
        <v>513</v>
      </c>
      <c r="B16" s="13" t="s">
        <v>49</v>
      </c>
      <c r="C16" s="13" t="s">
        <v>47</v>
      </c>
      <c r="D16" s="13" t="s">
        <v>25</v>
      </c>
      <c r="E16" s="13" t="s">
        <v>13</v>
      </c>
      <c r="F16" s="13" t="s">
        <v>14</v>
      </c>
      <c r="G16" s="14">
        <v>6.8999999999999999E-3</v>
      </c>
    </row>
    <row r="17" spans="1:7" x14ac:dyDescent="0.3">
      <c r="A17" s="9" t="s">
        <v>514</v>
      </c>
      <c r="B17" s="10" t="s">
        <v>51</v>
      </c>
      <c r="C17" s="10" t="s">
        <v>43</v>
      </c>
      <c r="D17" s="10" t="s">
        <v>35</v>
      </c>
      <c r="E17" s="10" t="s">
        <v>13</v>
      </c>
      <c r="F17" s="10" t="s">
        <v>14</v>
      </c>
      <c r="G17" s="11">
        <v>5.3E-3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showGridLines="0" zoomScaleNormal="100" workbookViewId="0">
      <selection activeCell="Q37" sqref="Q37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7.21875" bestFit="1" customWidth="1"/>
    <col min="7" max="7" width="9.6640625" customWidth="1"/>
  </cols>
  <sheetData>
    <row r="1" spans="1:7" ht="25.5" customHeight="1" x14ac:dyDescent="0.3">
      <c r="A1" s="5" t="s">
        <v>52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54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8" spans="1:7" x14ac:dyDescent="0.3">
      <c r="A8" s="4" t="s">
        <v>55</v>
      </c>
      <c r="B8" s="4"/>
      <c r="C8" s="4"/>
      <c r="D8" s="4"/>
      <c r="E8" s="4"/>
      <c r="F8" s="4"/>
      <c r="G8" s="4"/>
    </row>
    <row r="9" spans="1:7" x14ac:dyDescent="0.3">
      <c r="A9" s="15" t="s">
        <v>56</v>
      </c>
      <c r="B9" s="15" t="s">
        <v>57</v>
      </c>
      <c r="C9" s="15" t="s">
        <v>2</v>
      </c>
      <c r="D9" s="15" t="s">
        <v>58</v>
      </c>
      <c r="E9" s="15" t="s">
        <v>59</v>
      </c>
      <c r="F9" s="15" t="s">
        <v>60</v>
      </c>
      <c r="G9" s="15"/>
    </row>
    <row r="10" spans="1:7" x14ac:dyDescent="0.3">
      <c r="A10" s="16">
        <v>1</v>
      </c>
      <c r="B10" s="17" t="s">
        <v>61</v>
      </c>
      <c r="C10" s="18" t="s">
        <v>62</v>
      </c>
      <c r="D10" s="19">
        <v>0.1938</v>
      </c>
      <c r="E10" s="20">
        <v>2920000000</v>
      </c>
      <c r="F10" s="21">
        <f>D10</f>
        <v>0.1938</v>
      </c>
    </row>
    <row r="11" spans="1:7" x14ac:dyDescent="0.3">
      <c r="A11" s="22">
        <v>2</v>
      </c>
      <c r="B11" s="23" t="s">
        <v>63</v>
      </c>
      <c r="C11" s="24" t="s">
        <v>64</v>
      </c>
      <c r="D11" s="25">
        <v>0.15759999999999999</v>
      </c>
      <c r="E11" s="26">
        <v>2640000000</v>
      </c>
      <c r="F11" s="27">
        <f t="shared" ref="F11:F24" si="0">F10+D11</f>
        <v>0.35139999999999999</v>
      </c>
    </row>
    <row r="12" spans="1:7" x14ac:dyDescent="0.3">
      <c r="A12" s="16">
        <v>3</v>
      </c>
      <c r="B12" s="17" t="s">
        <v>65</v>
      </c>
      <c r="C12" s="18" t="s">
        <v>66</v>
      </c>
      <c r="D12" s="19">
        <v>0.13700000000000001</v>
      </c>
      <c r="E12" s="20">
        <v>2110000000</v>
      </c>
      <c r="F12" s="21">
        <f t="shared" si="0"/>
        <v>0.4884</v>
      </c>
    </row>
    <row r="13" spans="1:7" x14ac:dyDescent="0.3">
      <c r="A13" s="22">
        <v>4</v>
      </c>
      <c r="B13" s="23" t="s">
        <v>67</v>
      </c>
      <c r="C13" s="24" t="s">
        <v>68</v>
      </c>
      <c r="D13" s="25">
        <v>7.6999999999999999E-2</v>
      </c>
      <c r="E13" s="26">
        <v>1230000000</v>
      </c>
      <c r="F13" s="27">
        <f t="shared" si="0"/>
        <v>0.56540000000000001</v>
      </c>
    </row>
    <row r="14" spans="1:7" x14ac:dyDescent="0.3">
      <c r="A14" s="16">
        <v>5</v>
      </c>
      <c r="B14" s="17" t="s">
        <v>69</v>
      </c>
      <c r="C14" s="18" t="s">
        <v>70</v>
      </c>
      <c r="D14" s="19">
        <v>5.0500000000000003E-2</v>
      </c>
      <c r="E14" s="20">
        <v>845960000</v>
      </c>
      <c r="F14" s="21">
        <f t="shared" si="0"/>
        <v>0.6159</v>
      </c>
    </row>
    <row r="15" spans="1:7" x14ac:dyDescent="0.3">
      <c r="A15" s="22">
        <v>6</v>
      </c>
      <c r="B15" s="23" t="s">
        <v>71</v>
      </c>
      <c r="C15" s="24" t="s">
        <v>72</v>
      </c>
      <c r="D15" s="25">
        <v>4.0899999999999999E-2</v>
      </c>
      <c r="E15" s="26">
        <v>686310000</v>
      </c>
      <c r="F15" s="27">
        <f t="shared" si="0"/>
        <v>0.65680000000000005</v>
      </c>
    </row>
    <row r="16" spans="1:7" x14ac:dyDescent="0.3">
      <c r="A16" s="16">
        <v>7</v>
      </c>
      <c r="B16" s="17" t="s">
        <v>73</v>
      </c>
      <c r="C16" s="18" t="s">
        <v>74</v>
      </c>
      <c r="D16" s="19">
        <v>3.8600000000000002E-2</v>
      </c>
      <c r="E16" s="20">
        <v>646880000</v>
      </c>
      <c r="F16" s="21">
        <f t="shared" si="0"/>
        <v>0.69540000000000002</v>
      </c>
    </row>
    <row r="17" spans="1:7" x14ac:dyDescent="0.3">
      <c r="A17" s="22">
        <v>8</v>
      </c>
      <c r="B17" s="23" t="s">
        <v>75</v>
      </c>
      <c r="C17" s="24" t="s">
        <v>76</v>
      </c>
      <c r="D17" s="25">
        <v>3.6799999999999999E-2</v>
      </c>
      <c r="E17" s="26">
        <v>615990000</v>
      </c>
      <c r="F17" s="27">
        <f t="shared" si="0"/>
        <v>0.73219999999999996</v>
      </c>
    </row>
    <row r="18" spans="1:7" x14ac:dyDescent="0.3">
      <c r="A18" s="16">
        <v>9</v>
      </c>
      <c r="B18" s="17" t="s">
        <v>77</v>
      </c>
      <c r="C18" s="18" t="s">
        <v>78</v>
      </c>
      <c r="D18" s="19">
        <v>3.1300000000000001E-2</v>
      </c>
      <c r="E18" s="20">
        <v>481170000</v>
      </c>
      <c r="F18" s="21">
        <f t="shared" si="0"/>
        <v>0.76349999999999996</v>
      </c>
    </row>
    <row r="19" spans="1:7" x14ac:dyDescent="0.3">
      <c r="A19" s="22">
        <v>10</v>
      </c>
      <c r="B19" s="23" t="s">
        <v>79</v>
      </c>
      <c r="C19" s="24" t="s">
        <v>80</v>
      </c>
      <c r="D19" s="25">
        <v>1.8200000000000001E-2</v>
      </c>
      <c r="E19" s="26">
        <v>290150000</v>
      </c>
      <c r="F19" s="27">
        <f t="shared" si="0"/>
        <v>0.78169999999999995</v>
      </c>
    </row>
    <row r="20" spans="1:7" x14ac:dyDescent="0.3">
      <c r="A20" s="16">
        <v>11</v>
      </c>
      <c r="B20" s="17" t="s">
        <v>81</v>
      </c>
      <c r="C20" s="18" t="s">
        <v>82</v>
      </c>
      <c r="D20" s="19">
        <v>5.5E-2</v>
      </c>
      <c r="E20" s="20">
        <v>0</v>
      </c>
      <c r="F20" s="21">
        <f t="shared" si="0"/>
        <v>0.8367</v>
      </c>
    </row>
    <row r="21" spans="1:7" x14ac:dyDescent="0.3">
      <c r="A21" s="22">
        <v>12</v>
      </c>
      <c r="B21" s="23" t="s">
        <v>83</v>
      </c>
      <c r="C21" s="24" t="s">
        <v>82</v>
      </c>
      <c r="D21" s="25">
        <v>0.1182</v>
      </c>
      <c r="E21" s="26">
        <v>0</v>
      </c>
      <c r="F21" s="27">
        <f t="shared" si="0"/>
        <v>0.95489999999999997</v>
      </c>
    </row>
    <row r="22" spans="1:7" x14ac:dyDescent="0.3">
      <c r="A22" s="16">
        <v>13</v>
      </c>
      <c r="B22" s="17" t="s">
        <v>84</v>
      </c>
      <c r="C22" s="18" t="s">
        <v>82</v>
      </c>
      <c r="D22" s="19">
        <v>0.1196</v>
      </c>
      <c r="E22" s="20">
        <v>0</v>
      </c>
      <c r="F22" s="21">
        <f t="shared" si="0"/>
        <v>1.0745</v>
      </c>
    </row>
    <row r="23" spans="1:7" x14ac:dyDescent="0.3">
      <c r="A23" s="22">
        <v>14</v>
      </c>
      <c r="B23" s="23" t="s">
        <v>85</v>
      </c>
      <c r="C23" s="24" t="s">
        <v>82</v>
      </c>
      <c r="D23" s="25">
        <v>7.7899999999999997E-2</v>
      </c>
      <c r="E23" s="26">
        <v>0</v>
      </c>
      <c r="F23" s="27">
        <f t="shared" si="0"/>
        <v>1.1524000000000001</v>
      </c>
    </row>
    <row r="24" spans="1:7" x14ac:dyDescent="0.3">
      <c r="A24" s="16">
        <v>15</v>
      </c>
      <c r="B24" s="17" t="s">
        <v>86</v>
      </c>
      <c r="C24" s="18" t="s">
        <v>87</v>
      </c>
      <c r="D24" s="19">
        <v>-0.15229999999999999</v>
      </c>
      <c r="E24" s="20">
        <v>-2550000000</v>
      </c>
      <c r="F24" s="21">
        <f t="shared" si="0"/>
        <v>1.0001000000000002</v>
      </c>
    </row>
    <row r="25" spans="1:7" x14ac:dyDescent="0.3">
      <c r="B25" s="28" t="s">
        <v>88</v>
      </c>
      <c r="C25" s="29"/>
      <c r="D25" s="30">
        <f>SUM(D10:D24)</f>
        <v>1.0001000000000002</v>
      </c>
      <c r="E25" s="31">
        <f>SUM(E10:E24)</f>
        <v>9916460000</v>
      </c>
    </row>
    <row r="27" spans="1:7" ht="27.75" customHeight="1" x14ac:dyDescent="0.3">
      <c r="A27" s="2" t="s">
        <v>89</v>
      </c>
      <c r="B27" s="2"/>
      <c r="C27" s="2"/>
      <c r="D27" s="2"/>
      <c r="E27" s="2"/>
      <c r="F27" s="2"/>
      <c r="G27" s="2"/>
    </row>
  </sheetData>
  <mergeCells count="5">
    <mergeCell ref="A8:G8"/>
    <mergeCell ref="A27:G27"/>
    <mergeCell ref="A1:G1"/>
    <mergeCell ref="A3:G3"/>
    <mergeCell ref="A4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showGridLines="0" zoomScaleNormal="100" workbookViewId="0">
      <selection activeCell="A4" sqref="A4:G6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90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91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92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93</v>
      </c>
      <c r="C11" s="18" t="s">
        <v>94</v>
      </c>
      <c r="D11" s="19">
        <v>0.1239</v>
      </c>
      <c r="E11" s="20">
        <v>277310000</v>
      </c>
      <c r="F11" s="21">
        <f>D11</f>
        <v>0.1239</v>
      </c>
    </row>
    <row r="12" spans="1:7" x14ac:dyDescent="0.3">
      <c r="A12" s="22">
        <v>2</v>
      </c>
      <c r="B12" s="23" t="s">
        <v>95</v>
      </c>
      <c r="C12" s="24" t="s">
        <v>96</v>
      </c>
      <c r="D12" s="25">
        <v>0.1066</v>
      </c>
      <c r="E12" s="26">
        <v>242840000</v>
      </c>
      <c r="F12" s="27">
        <f t="shared" ref="F12:F28" si="0">F11+D12</f>
        <v>0.23049999999999998</v>
      </c>
    </row>
    <row r="13" spans="1:7" x14ac:dyDescent="0.3">
      <c r="A13" s="16">
        <v>3</v>
      </c>
      <c r="B13" s="17" t="s">
        <v>97</v>
      </c>
      <c r="C13" s="18" t="s">
        <v>98</v>
      </c>
      <c r="D13" s="19">
        <v>9.9199999999999997E-2</v>
      </c>
      <c r="E13" s="20">
        <v>224780000</v>
      </c>
      <c r="F13" s="21">
        <f t="shared" si="0"/>
        <v>0.32969999999999999</v>
      </c>
    </row>
    <row r="14" spans="1:7" x14ac:dyDescent="0.3">
      <c r="A14" s="22">
        <v>4</v>
      </c>
      <c r="B14" s="23" t="s">
        <v>99</v>
      </c>
      <c r="C14" s="24" t="s">
        <v>100</v>
      </c>
      <c r="D14" s="25">
        <v>7.2400000000000006E-2</v>
      </c>
      <c r="E14" s="26">
        <v>163770000</v>
      </c>
      <c r="F14" s="27">
        <f t="shared" si="0"/>
        <v>0.40210000000000001</v>
      </c>
    </row>
    <row r="15" spans="1:7" x14ac:dyDescent="0.3">
      <c r="A15" s="16">
        <v>5</v>
      </c>
      <c r="B15" s="17" t="s">
        <v>101</v>
      </c>
      <c r="C15" s="18" t="s">
        <v>102</v>
      </c>
      <c r="D15" s="19">
        <v>5.5300000000000002E-2</v>
      </c>
      <c r="E15" s="20">
        <v>114730000</v>
      </c>
      <c r="F15" s="21">
        <f t="shared" si="0"/>
        <v>0.45740000000000003</v>
      </c>
    </row>
    <row r="16" spans="1:7" x14ac:dyDescent="0.3">
      <c r="A16" s="22">
        <v>6</v>
      </c>
      <c r="B16" s="23" t="s">
        <v>103</v>
      </c>
      <c r="C16" s="24" t="s">
        <v>104</v>
      </c>
      <c r="D16" s="25">
        <v>5.5100000000000003E-2</v>
      </c>
      <c r="E16" s="26">
        <v>117250000</v>
      </c>
      <c r="F16" s="27">
        <f t="shared" si="0"/>
        <v>0.51250000000000007</v>
      </c>
    </row>
    <row r="17" spans="1:7" x14ac:dyDescent="0.3">
      <c r="A17" s="16">
        <v>7</v>
      </c>
      <c r="B17" s="17" t="s">
        <v>73</v>
      </c>
      <c r="C17" s="18" t="s">
        <v>74</v>
      </c>
      <c r="D17" s="19">
        <v>4.4299999999999999E-2</v>
      </c>
      <c r="E17" s="20">
        <v>98010000</v>
      </c>
      <c r="F17" s="21">
        <f t="shared" si="0"/>
        <v>0.55680000000000007</v>
      </c>
    </row>
    <row r="18" spans="1:7" x14ac:dyDescent="0.3">
      <c r="A18" s="22">
        <v>8</v>
      </c>
      <c r="B18" s="23" t="s">
        <v>105</v>
      </c>
      <c r="C18" s="24" t="s">
        <v>106</v>
      </c>
      <c r="D18" s="25">
        <v>3.9699999999999999E-2</v>
      </c>
      <c r="E18" s="26">
        <v>91190000</v>
      </c>
      <c r="F18" s="27">
        <f t="shared" si="0"/>
        <v>0.59650000000000003</v>
      </c>
    </row>
    <row r="19" spans="1:7" x14ac:dyDescent="0.3">
      <c r="A19" s="16">
        <v>9</v>
      </c>
      <c r="B19" s="17" t="s">
        <v>61</v>
      </c>
      <c r="C19" s="18" t="s">
        <v>62</v>
      </c>
      <c r="D19" s="19">
        <v>3.8800000000000001E-2</v>
      </c>
      <c r="E19" s="20">
        <v>91730000</v>
      </c>
      <c r="F19" s="21">
        <f t="shared" si="0"/>
        <v>0.63529999999999998</v>
      </c>
    </row>
    <row r="20" spans="1:7" x14ac:dyDescent="0.3">
      <c r="A20" s="22">
        <v>10</v>
      </c>
      <c r="B20" s="23" t="s">
        <v>107</v>
      </c>
      <c r="C20" s="24" t="s">
        <v>108</v>
      </c>
      <c r="D20" s="25">
        <v>3.6400000000000002E-2</v>
      </c>
      <c r="E20" s="26">
        <v>83560000</v>
      </c>
      <c r="F20" s="27">
        <f t="shared" si="0"/>
        <v>0.67169999999999996</v>
      </c>
    </row>
    <row r="21" spans="1:7" x14ac:dyDescent="0.3">
      <c r="A21" s="16">
        <v>11</v>
      </c>
      <c r="B21" s="17" t="s">
        <v>109</v>
      </c>
      <c r="C21" s="18" t="s">
        <v>110</v>
      </c>
      <c r="D21" s="19">
        <v>3.5200000000000002E-2</v>
      </c>
      <c r="E21" s="20">
        <v>77330000</v>
      </c>
      <c r="F21" s="21">
        <f t="shared" si="0"/>
        <v>0.70689999999999997</v>
      </c>
    </row>
    <row r="22" spans="1:7" x14ac:dyDescent="0.3">
      <c r="A22" s="22">
        <v>12</v>
      </c>
      <c r="B22" s="23" t="s">
        <v>111</v>
      </c>
      <c r="C22" s="24" t="s">
        <v>112</v>
      </c>
      <c r="D22" s="25">
        <v>3.5000000000000003E-2</v>
      </c>
      <c r="E22" s="26">
        <v>79150000</v>
      </c>
      <c r="F22" s="27">
        <f t="shared" si="0"/>
        <v>0.7419</v>
      </c>
    </row>
    <row r="23" spans="1:7" x14ac:dyDescent="0.3">
      <c r="A23" s="16">
        <v>13</v>
      </c>
      <c r="B23" s="17" t="s">
        <v>113</v>
      </c>
      <c r="C23" s="18" t="s">
        <v>114</v>
      </c>
      <c r="D23" s="19">
        <v>3.4099999999999998E-2</v>
      </c>
      <c r="E23" s="20">
        <v>74240000</v>
      </c>
      <c r="F23" s="21">
        <f t="shared" si="0"/>
        <v>0.77600000000000002</v>
      </c>
    </row>
    <row r="24" spans="1:7" x14ac:dyDescent="0.3">
      <c r="A24" s="22">
        <v>14</v>
      </c>
      <c r="B24" s="23" t="s">
        <v>115</v>
      </c>
      <c r="C24" s="24" t="s">
        <v>116</v>
      </c>
      <c r="D24" s="25">
        <v>3.3799999999999997E-2</v>
      </c>
      <c r="E24" s="26">
        <v>75220000</v>
      </c>
      <c r="F24" s="27">
        <f t="shared" si="0"/>
        <v>0.80980000000000008</v>
      </c>
    </row>
    <row r="25" spans="1:7" x14ac:dyDescent="0.3">
      <c r="A25" s="16">
        <v>15</v>
      </c>
      <c r="B25" s="17" t="s">
        <v>117</v>
      </c>
      <c r="C25" s="18" t="s">
        <v>118</v>
      </c>
      <c r="D25" s="19">
        <v>2.76E-2</v>
      </c>
      <c r="E25" s="20">
        <v>64450000</v>
      </c>
      <c r="F25" s="21">
        <f t="shared" si="0"/>
        <v>0.83740000000000003</v>
      </c>
    </row>
    <row r="26" spans="1:7" x14ac:dyDescent="0.3">
      <c r="A26" s="22">
        <v>16</v>
      </c>
      <c r="B26" s="23" t="s">
        <v>119</v>
      </c>
      <c r="C26" s="24" t="s">
        <v>120</v>
      </c>
      <c r="D26" s="25">
        <v>2.5999999999999999E-2</v>
      </c>
      <c r="E26" s="26">
        <v>60950000</v>
      </c>
      <c r="F26" s="27">
        <f t="shared" si="0"/>
        <v>0.86340000000000006</v>
      </c>
    </row>
    <row r="27" spans="1:7" x14ac:dyDescent="0.3">
      <c r="A27" s="16">
        <v>17</v>
      </c>
      <c r="B27" s="17" t="s">
        <v>121</v>
      </c>
      <c r="C27" s="18" t="s">
        <v>122</v>
      </c>
      <c r="D27" s="19">
        <v>2.4199999999999999E-2</v>
      </c>
      <c r="E27" s="20">
        <v>50190000</v>
      </c>
      <c r="F27" s="21">
        <f t="shared" si="0"/>
        <v>0.88760000000000006</v>
      </c>
    </row>
    <row r="28" spans="1:7" x14ac:dyDescent="0.3">
      <c r="A28" s="22">
        <v>18</v>
      </c>
      <c r="B28" s="23" t="s">
        <v>123</v>
      </c>
      <c r="C28" s="24" t="s">
        <v>124</v>
      </c>
      <c r="D28" s="25">
        <v>2.12E-2</v>
      </c>
      <c r="E28" s="26">
        <v>46700000</v>
      </c>
      <c r="F28" s="27">
        <f t="shared" si="0"/>
        <v>0.90880000000000005</v>
      </c>
    </row>
    <row r="29" spans="1:7" x14ac:dyDescent="0.3">
      <c r="B29" s="28" t="s">
        <v>88</v>
      </c>
      <c r="C29" s="29"/>
      <c r="D29" s="30">
        <f>SUM(D11:D28)</f>
        <v>0.90880000000000005</v>
      </c>
      <c r="E29" s="31">
        <f>SUM(E11:E28)</f>
        <v>2033400000</v>
      </c>
    </row>
    <row r="31" spans="1:7" ht="27.75" customHeight="1" x14ac:dyDescent="0.3">
      <c r="A31" s="2" t="s">
        <v>125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showGridLines="0" zoomScaleNormal="100" workbookViewId="0">
      <selection activeCell="A7" sqref="A7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126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127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128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129</v>
      </c>
      <c r="C11" s="18" t="s">
        <v>130</v>
      </c>
      <c r="D11" s="19">
        <v>8.09E-2</v>
      </c>
      <c r="E11" s="20">
        <v>56440000</v>
      </c>
      <c r="F11" s="21">
        <f>D11</f>
        <v>8.09E-2</v>
      </c>
    </row>
    <row r="12" spans="1:7" x14ac:dyDescent="0.3">
      <c r="A12" s="22">
        <v>2</v>
      </c>
      <c r="B12" s="23" t="s">
        <v>131</v>
      </c>
      <c r="C12" s="24" t="s">
        <v>132</v>
      </c>
      <c r="D12" s="25">
        <v>7.5999999999999998E-2</v>
      </c>
      <c r="E12" s="26">
        <v>54340000</v>
      </c>
      <c r="F12" s="27">
        <f t="shared" ref="F12:F28" si="0">F11+D12</f>
        <v>0.15689999999999998</v>
      </c>
    </row>
    <row r="13" spans="1:7" x14ac:dyDescent="0.3">
      <c r="A13" s="16">
        <v>3</v>
      </c>
      <c r="B13" s="17" t="s">
        <v>133</v>
      </c>
      <c r="C13" s="18" t="s">
        <v>134</v>
      </c>
      <c r="D13" s="19">
        <v>5.5E-2</v>
      </c>
      <c r="E13" s="20">
        <v>39640000</v>
      </c>
      <c r="F13" s="21">
        <f t="shared" si="0"/>
        <v>0.21189999999999998</v>
      </c>
    </row>
    <row r="14" spans="1:7" x14ac:dyDescent="0.3">
      <c r="A14" s="22">
        <v>4</v>
      </c>
      <c r="B14" s="23" t="s">
        <v>135</v>
      </c>
      <c r="C14" s="24" t="s">
        <v>136</v>
      </c>
      <c r="D14" s="25">
        <v>5.4699999999999999E-2</v>
      </c>
      <c r="E14" s="26">
        <v>39420000</v>
      </c>
      <c r="F14" s="27">
        <f t="shared" si="0"/>
        <v>0.26659999999999995</v>
      </c>
    </row>
    <row r="15" spans="1:7" x14ac:dyDescent="0.3">
      <c r="A15" s="16">
        <v>5</v>
      </c>
      <c r="B15" s="17" t="s">
        <v>137</v>
      </c>
      <c r="C15" s="18" t="s">
        <v>138</v>
      </c>
      <c r="D15" s="19">
        <v>4.2500000000000003E-2</v>
      </c>
      <c r="E15" s="20">
        <v>30970000</v>
      </c>
      <c r="F15" s="21">
        <f t="shared" si="0"/>
        <v>0.30909999999999993</v>
      </c>
    </row>
    <row r="16" spans="1:7" x14ac:dyDescent="0.3">
      <c r="A16" s="22">
        <v>6</v>
      </c>
      <c r="B16" s="23" t="s">
        <v>139</v>
      </c>
      <c r="C16" s="24" t="s">
        <v>140</v>
      </c>
      <c r="D16" s="25">
        <v>4.0599999999999997E-2</v>
      </c>
      <c r="E16" s="26">
        <v>31500000</v>
      </c>
      <c r="F16" s="27">
        <f t="shared" si="0"/>
        <v>0.3496999999999999</v>
      </c>
    </row>
    <row r="17" spans="1:7" x14ac:dyDescent="0.3">
      <c r="A17" s="16">
        <v>7</v>
      </c>
      <c r="B17" s="17" t="s">
        <v>141</v>
      </c>
      <c r="C17" s="18" t="s">
        <v>142</v>
      </c>
      <c r="D17" s="19">
        <v>4.0300000000000002E-2</v>
      </c>
      <c r="E17" s="20">
        <v>29850000</v>
      </c>
      <c r="F17" s="21">
        <f t="shared" si="0"/>
        <v>0.3899999999999999</v>
      </c>
    </row>
    <row r="18" spans="1:7" x14ac:dyDescent="0.3">
      <c r="A18" s="22">
        <v>8</v>
      </c>
      <c r="B18" s="23" t="s">
        <v>143</v>
      </c>
      <c r="C18" s="24" t="s">
        <v>144</v>
      </c>
      <c r="D18" s="25">
        <v>3.9899999999999998E-2</v>
      </c>
      <c r="E18" s="26">
        <v>29110000</v>
      </c>
      <c r="F18" s="27">
        <f t="shared" si="0"/>
        <v>0.42989999999999989</v>
      </c>
    </row>
    <row r="19" spans="1:7" x14ac:dyDescent="0.3">
      <c r="A19" s="16">
        <v>9</v>
      </c>
      <c r="B19" s="17" t="s">
        <v>145</v>
      </c>
      <c r="C19" s="18" t="s">
        <v>146</v>
      </c>
      <c r="D19" s="19">
        <v>3.9699999999999999E-2</v>
      </c>
      <c r="E19" s="20">
        <v>29220000</v>
      </c>
      <c r="F19" s="21">
        <f t="shared" si="0"/>
        <v>0.46959999999999991</v>
      </c>
    </row>
    <row r="20" spans="1:7" x14ac:dyDescent="0.3">
      <c r="A20" s="22">
        <v>10</v>
      </c>
      <c r="B20" s="23" t="s">
        <v>147</v>
      </c>
      <c r="C20" s="24" t="s">
        <v>148</v>
      </c>
      <c r="D20" s="25">
        <v>3.9399999999999998E-2</v>
      </c>
      <c r="E20" s="26">
        <v>28030000</v>
      </c>
      <c r="F20" s="27">
        <f t="shared" si="0"/>
        <v>0.5089999999999999</v>
      </c>
    </row>
    <row r="21" spans="1:7" x14ac:dyDescent="0.3">
      <c r="A21" s="16">
        <v>11</v>
      </c>
      <c r="B21" s="17" t="s">
        <v>149</v>
      </c>
      <c r="C21" s="18" t="s">
        <v>150</v>
      </c>
      <c r="D21" s="19">
        <v>3.7499999999999999E-2</v>
      </c>
      <c r="E21" s="20">
        <v>27550000</v>
      </c>
      <c r="F21" s="21">
        <f t="shared" si="0"/>
        <v>0.54649999999999987</v>
      </c>
    </row>
    <row r="22" spans="1:7" x14ac:dyDescent="0.3">
      <c r="A22" s="22">
        <v>12</v>
      </c>
      <c r="B22" s="23" t="s">
        <v>151</v>
      </c>
      <c r="C22" s="24" t="s">
        <v>152</v>
      </c>
      <c r="D22" s="25">
        <v>3.5999999999999997E-2</v>
      </c>
      <c r="E22" s="26">
        <v>26380000</v>
      </c>
      <c r="F22" s="27">
        <f t="shared" si="0"/>
        <v>0.58249999999999991</v>
      </c>
    </row>
    <row r="23" spans="1:7" x14ac:dyDescent="0.3">
      <c r="A23" s="16">
        <v>13</v>
      </c>
      <c r="B23" s="17" t="s">
        <v>153</v>
      </c>
      <c r="C23" s="18" t="s">
        <v>154</v>
      </c>
      <c r="D23" s="19">
        <v>3.5099999999999999E-2</v>
      </c>
      <c r="E23" s="20">
        <v>25030000</v>
      </c>
      <c r="F23" s="21">
        <f t="shared" si="0"/>
        <v>0.61759999999999993</v>
      </c>
    </row>
    <row r="24" spans="1:7" x14ac:dyDescent="0.3">
      <c r="A24" s="22">
        <v>14</v>
      </c>
      <c r="B24" s="23" t="s">
        <v>155</v>
      </c>
      <c r="C24" s="24" t="s">
        <v>156</v>
      </c>
      <c r="D24" s="25">
        <v>3.39E-2</v>
      </c>
      <c r="E24" s="26">
        <v>24600000</v>
      </c>
      <c r="F24" s="27">
        <f t="shared" si="0"/>
        <v>0.65149999999999997</v>
      </c>
    </row>
    <row r="25" spans="1:7" x14ac:dyDescent="0.3">
      <c r="A25" s="16">
        <v>15</v>
      </c>
      <c r="B25" s="17" t="s">
        <v>157</v>
      </c>
      <c r="C25" s="18" t="s">
        <v>158</v>
      </c>
      <c r="D25" s="19">
        <v>3.3700000000000001E-2</v>
      </c>
      <c r="E25" s="20">
        <v>24600000</v>
      </c>
      <c r="F25" s="21">
        <f t="shared" si="0"/>
        <v>0.68519999999999992</v>
      </c>
    </row>
    <row r="26" spans="1:7" x14ac:dyDescent="0.3">
      <c r="A26" s="22">
        <v>16</v>
      </c>
      <c r="B26" s="23" t="s">
        <v>159</v>
      </c>
      <c r="C26" s="24" t="s">
        <v>160</v>
      </c>
      <c r="D26" s="25">
        <v>3.2300000000000002E-2</v>
      </c>
      <c r="E26" s="26">
        <v>23620000</v>
      </c>
      <c r="F26" s="27">
        <f t="shared" si="0"/>
        <v>0.71749999999999992</v>
      </c>
    </row>
    <row r="27" spans="1:7" x14ac:dyDescent="0.3">
      <c r="A27" s="16">
        <v>17</v>
      </c>
      <c r="B27" s="17" t="s">
        <v>161</v>
      </c>
      <c r="C27" s="18" t="s">
        <v>162</v>
      </c>
      <c r="D27" s="19">
        <v>3.1800000000000002E-2</v>
      </c>
      <c r="E27" s="20">
        <v>23390000</v>
      </c>
      <c r="F27" s="21">
        <f t="shared" si="0"/>
        <v>0.74929999999999997</v>
      </c>
    </row>
    <row r="28" spans="1:7" x14ac:dyDescent="0.3">
      <c r="A28" s="22">
        <v>18</v>
      </c>
      <c r="B28" s="23" t="s">
        <v>163</v>
      </c>
      <c r="C28" s="24" t="s">
        <v>164</v>
      </c>
      <c r="D28" s="25">
        <v>3.1399999999999997E-2</v>
      </c>
      <c r="E28" s="26">
        <v>22710000</v>
      </c>
      <c r="F28" s="27">
        <f t="shared" si="0"/>
        <v>0.78069999999999995</v>
      </c>
    </row>
    <row r="29" spans="1:7" x14ac:dyDescent="0.3">
      <c r="B29" s="28" t="s">
        <v>88</v>
      </c>
      <c r="C29" s="29"/>
      <c r="D29" s="30">
        <f>SUM(D11:D28)</f>
        <v>0.78069999999999995</v>
      </c>
      <c r="E29" s="31">
        <f>SUM(E11:E28)</f>
        <v>566400000</v>
      </c>
    </row>
    <row r="31" spans="1:7" ht="27.75" customHeight="1" x14ac:dyDescent="0.3">
      <c r="A31" s="2" t="s">
        <v>165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showGridLines="0" zoomScaleNormal="100" workbookViewId="0">
      <selection activeCell="A7" sqref="A7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166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167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168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169</v>
      </c>
      <c r="C11" s="18" t="s">
        <v>170</v>
      </c>
      <c r="D11" s="19">
        <v>6.2799999999999995E-2</v>
      </c>
      <c r="E11" s="20">
        <v>662170000</v>
      </c>
      <c r="F11" s="21">
        <f>D11</f>
        <v>6.2799999999999995E-2</v>
      </c>
    </row>
    <row r="12" spans="1:7" x14ac:dyDescent="0.3">
      <c r="A12" s="22">
        <v>2</v>
      </c>
      <c r="B12" s="23" t="s">
        <v>171</v>
      </c>
      <c r="C12" s="24" t="s">
        <v>172</v>
      </c>
      <c r="D12" s="25">
        <v>4.3299999999999998E-2</v>
      </c>
      <c r="E12" s="26">
        <v>456920000</v>
      </c>
      <c r="F12" s="27">
        <f t="shared" ref="F12:F28" si="0">F11+D12</f>
        <v>0.1061</v>
      </c>
    </row>
    <row r="13" spans="1:7" x14ac:dyDescent="0.3">
      <c r="A13" s="16">
        <v>3</v>
      </c>
      <c r="B13" s="17" t="s">
        <v>173</v>
      </c>
      <c r="C13" s="18" t="s">
        <v>174</v>
      </c>
      <c r="D13" s="19">
        <v>4.2599999999999999E-2</v>
      </c>
      <c r="E13" s="20">
        <v>449120000</v>
      </c>
      <c r="F13" s="21">
        <f t="shared" si="0"/>
        <v>0.1487</v>
      </c>
    </row>
    <row r="14" spans="1:7" x14ac:dyDescent="0.3">
      <c r="A14" s="22">
        <v>4</v>
      </c>
      <c r="B14" s="23" t="s">
        <v>175</v>
      </c>
      <c r="C14" s="24" t="s">
        <v>176</v>
      </c>
      <c r="D14" s="25">
        <v>4.2000000000000003E-2</v>
      </c>
      <c r="E14" s="26">
        <v>442500000</v>
      </c>
      <c r="F14" s="27">
        <f t="shared" si="0"/>
        <v>0.19070000000000001</v>
      </c>
    </row>
    <row r="15" spans="1:7" x14ac:dyDescent="0.3">
      <c r="A15" s="16">
        <v>5</v>
      </c>
      <c r="B15" s="17" t="s">
        <v>177</v>
      </c>
      <c r="C15" s="18" t="s">
        <v>178</v>
      </c>
      <c r="D15" s="19">
        <v>3.9E-2</v>
      </c>
      <c r="E15" s="20">
        <v>411550000</v>
      </c>
      <c r="F15" s="21">
        <f t="shared" si="0"/>
        <v>0.22970000000000002</v>
      </c>
    </row>
    <row r="16" spans="1:7" x14ac:dyDescent="0.3">
      <c r="A16" s="22">
        <v>6</v>
      </c>
      <c r="B16" s="23" t="s">
        <v>179</v>
      </c>
      <c r="C16" s="24" t="s">
        <v>180</v>
      </c>
      <c r="D16" s="25">
        <v>3.7999999999999999E-2</v>
      </c>
      <c r="E16" s="26">
        <v>400200000</v>
      </c>
      <c r="F16" s="27">
        <f t="shared" si="0"/>
        <v>0.26769999999999999</v>
      </c>
    </row>
    <row r="17" spans="1:7" x14ac:dyDescent="0.3">
      <c r="A17" s="16">
        <v>7</v>
      </c>
      <c r="B17" s="17" t="s">
        <v>181</v>
      </c>
      <c r="C17" s="18" t="s">
        <v>182</v>
      </c>
      <c r="D17" s="19">
        <v>3.7100000000000001E-2</v>
      </c>
      <c r="E17" s="20">
        <v>390630000</v>
      </c>
      <c r="F17" s="21">
        <f t="shared" si="0"/>
        <v>0.30480000000000002</v>
      </c>
    </row>
    <row r="18" spans="1:7" x14ac:dyDescent="0.3">
      <c r="A18" s="22">
        <v>8</v>
      </c>
      <c r="B18" s="23" t="s">
        <v>183</v>
      </c>
      <c r="C18" s="24" t="s">
        <v>184</v>
      </c>
      <c r="D18" s="25">
        <v>3.5200000000000002E-2</v>
      </c>
      <c r="E18" s="26">
        <v>371120000</v>
      </c>
      <c r="F18" s="27">
        <f t="shared" si="0"/>
        <v>0.34</v>
      </c>
    </row>
    <row r="19" spans="1:7" x14ac:dyDescent="0.3">
      <c r="A19" s="16">
        <v>9</v>
      </c>
      <c r="B19" s="17" t="s">
        <v>185</v>
      </c>
      <c r="C19" s="18" t="s">
        <v>186</v>
      </c>
      <c r="D19" s="19">
        <v>3.1399999999999997E-2</v>
      </c>
      <c r="E19" s="20">
        <v>331210000</v>
      </c>
      <c r="F19" s="21">
        <f t="shared" si="0"/>
        <v>0.37140000000000001</v>
      </c>
    </row>
    <row r="20" spans="1:7" x14ac:dyDescent="0.3">
      <c r="A20" s="22">
        <v>10</v>
      </c>
      <c r="B20" s="23" t="s">
        <v>187</v>
      </c>
      <c r="C20" s="24" t="s">
        <v>188</v>
      </c>
      <c r="D20" s="25">
        <v>3.0099999999999998E-2</v>
      </c>
      <c r="E20" s="26">
        <v>317010000</v>
      </c>
      <c r="F20" s="27">
        <f t="shared" si="0"/>
        <v>0.40150000000000002</v>
      </c>
    </row>
    <row r="21" spans="1:7" x14ac:dyDescent="0.3">
      <c r="A21" s="16">
        <v>11</v>
      </c>
      <c r="B21" s="17" t="s">
        <v>189</v>
      </c>
      <c r="C21" s="18" t="s">
        <v>190</v>
      </c>
      <c r="D21" s="19">
        <v>2.86E-2</v>
      </c>
      <c r="E21" s="20">
        <v>301060000</v>
      </c>
      <c r="F21" s="21">
        <f t="shared" si="0"/>
        <v>0.43010000000000004</v>
      </c>
    </row>
    <row r="22" spans="1:7" x14ac:dyDescent="0.3">
      <c r="A22" s="22">
        <v>12</v>
      </c>
      <c r="B22" s="23" t="s">
        <v>191</v>
      </c>
      <c r="C22" s="24" t="s">
        <v>192</v>
      </c>
      <c r="D22" s="25">
        <v>2.7099999999999999E-2</v>
      </c>
      <c r="E22" s="26">
        <v>285910000</v>
      </c>
      <c r="F22" s="27">
        <f t="shared" si="0"/>
        <v>0.45720000000000005</v>
      </c>
    </row>
    <row r="23" spans="1:7" x14ac:dyDescent="0.3">
      <c r="A23" s="16">
        <v>13</v>
      </c>
      <c r="B23" s="17" t="s">
        <v>129</v>
      </c>
      <c r="C23" s="18" t="s">
        <v>130</v>
      </c>
      <c r="D23" s="19">
        <v>2.5700000000000001E-2</v>
      </c>
      <c r="E23" s="20">
        <v>270490000</v>
      </c>
      <c r="F23" s="21">
        <f t="shared" si="0"/>
        <v>0.48290000000000005</v>
      </c>
    </row>
    <row r="24" spans="1:7" x14ac:dyDescent="0.3">
      <c r="A24" s="22">
        <v>14</v>
      </c>
      <c r="B24" s="23" t="s">
        <v>193</v>
      </c>
      <c r="C24" s="24" t="s">
        <v>194</v>
      </c>
      <c r="D24" s="25">
        <v>2.4500000000000001E-2</v>
      </c>
      <c r="E24" s="26">
        <v>258490000</v>
      </c>
      <c r="F24" s="27">
        <f t="shared" si="0"/>
        <v>0.50740000000000007</v>
      </c>
    </row>
    <row r="25" spans="1:7" x14ac:dyDescent="0.3">
      <c r="A25" s="16">
        <v>15</v>
      </c>
      <c r="B25" s="17" t="s">
        <v>195</v>
      </c>
      <c r="C25" s="18" t="s">
        <v>196</v>
      </c>
      <c r="D25" s="19">
        <v>2.4E-2</v>
      </c>
      <c r="E25" s="20">
        <v>253300000</v>
      </c>
      <c r="F25" s="21">
        <f t="shared" si="0"/>
        <v>0.53140000000000009</v>
      </c>
    </row>
    <row r="26" spans="1:7" x14ac:dyDescent="0.3">
      <c r="A26" s="22">
        <v>16</v>
      </c>
      <c r="B26" s="23" t="s">
        <v>197</v>
      </c>
      <c r="C26" s="24" t="s">
        <v>198</v>
      </c>
      <c r="D26" s="25">
        <v>2.35E-2</v>
      </c>
      <c r="E26" s="26">
        <v>247930000</v>
      </c>
      <c r="F26" s="27">
        <f t="shared" si="0"/>
        <v>0.55490000000000006</v>
      </c>
    </row>
    <row r="27" spans="1:7" x14ac:dyDescent="0.3">
      <c r="A27" s="16">
        <v>17</v>
      </c>
      <c r="B27" s="17" t="s">
        <v>199</v>
      </c>
      <c r="C27" s="18" t="s">
        <v>200</v>
      </c>
      <c r="D27" s="19">
        <v>2.0899999999999998E-2</v>
      </c>
      <c r="E27" s="20">
        <v>220140000</v>
      </c>
      <c r="F27" s="21">
        <f t="shared" si="0"/>
        <v>0.57580000000000009</v>
      </c>
    </row>
    <row r="28" spans="1:7" x14ac:dyDescent="0.3">
      <c r="A28" s="22">
        <v>18</v>
      </c>
      <c r="B28" s="23" t="s">
        <v>201</v>
      </c>
      <c r="C28" s="24" t="s">
        <v>202</v>
      </c>
      <c r="D28" s="25">
        <v>2.07E-2</v>
      </c>
      <c r="E28" s="26">
        <v>217940000</v>
      </c>
      <c r="F28" s="27">
        <f t="shared" si="0"/>
        <v>0.59650000000000014</v>
      </c>
    </row>
    <row r="29" spans="1:7" x14ac:dyDescent="0.3">
      <c r="B29" s="28" t="s">
        <v>88</v>
      </c>
      <c r="C29" s="29"/>
      <c r="D29" s="30">
        <f>SUM(D11:D28)</f>
        <v>0.59650000000000014</v>
      </c>
      <c r="E29" s="31">
        <f>SUM(E11:E28)</f>
        <v>6287690000</v>
      </c>
    </row>
    <row r="31" spans="1:7" ht="27.75" customHeight="1" x14ac:dyDescent="0.3">
      <c r="A31" s="2" t="s">
        <v>203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showGridLines="0" zoomScaleNormal="100" workbookViewId="0">
      <selection activeCell="A7" sqref="A7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204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205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206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123</v>
      </c>
      <c r="C11" s="18" t="s">
        <v>207</v>
      </c>
      <c r="D11" s="19">
        <v>0.10150000000000001</v>
      </c>
      <c r="E11" s="20">
        <v>23470000</v>
      </c>
      <c r="F11" s="21">
        <f>D11</f>
        <v>0.10150000000000001</v>
      </c>
    </row>
    <row r="12" spans="1:7" x14ac:dyDescent="0.3">
      <c r="A12" s="22">
        <v>2</v>
      </c>
      <c r="B12" s="23" t="s">
        <v>208</v>
      </c>
      <c r="C12" s="24" t="s">
        <v>209</v>
      </c>
      <c r="D12" s="25">
        <v>9.2200000000000004E-2</v>
      </c>
      <c r="E12" s="26">
        <v>21330000</v>
      </c>
      <c r="F12" s="27">
        <f t="shared" ref="F12:F28" si="0">F11+D12</f>
        <v>0.19370000000000001</v>
      </c>
    </row>
    <row r="13" spans="1:7" x14ac:dyDescent="0.3">
      <c r="A13" s="16">
        <v>3</v>
      </c>
      <c r="B13" s="17" t="s">
        <v>210</v>
      </c>
      <c r="C13" s="18" t="s">
        <v>211</v>
      </c>
      <c r="D13" s="19">
        <v>5.5800000000000002E-2</v>
      </c>
      <c r="E13" s="20">
        <v>12900000</v>
      </c>
      <c r="F13" s="21">
        <f t="shared" si="0"/>
        <v>0.2495</v>
      </c>
    </row>
    <row r="14" spans="1:7" x14ac:dyDescent="0.3">
      <c r="A14" s="22">
        <v>4</v>
      </c>
      <c r="B14" s="23" t="s">
        <v>212</v>
      </c>
      <c r="C14" s="24" t="s">
        <v>213</v>
      </c>
      <c r="D14" s="25">
        <v>5.5500000000000001E-2</v>
      </c>
      <c r="E14" s="26">
        <v>12830000</v>
      </c>
      <c r="F14" s="27">
        <f t="shared" si="0"/>
        <v>0.30499999999999999</v>
      </c>
    </row>
    <row r="15" spans="1:7" x14ac:dyDescent="0.3">
      <c r="A15" s="16">
        <v>5</v>
      </c>
      <c r="B15" s="17" t="s">
        <v>214</v>
      </c>
      <c r="C15" s="18" t="s">
        <v>215</v>
      </c>
      <c r="D15" s="19">
        <v>4.7600000000000003E-2</v>
      </c>
      <c r="E15" s="20">
        <v>11000000</v>
      </c>
      <c r="F15" s="21">
        <f t="shared" si="0"/>
        <v>0.35260000000000002</v>
      </c>
    </row>
    <row r="16" spans="1:7" x14ac:dyDescent="0.3">
      <c r="A16" s="22">
        <v>6</v>
      </c>
      <c r="B16" s="23" t="s">
        <v>216</v>
      </c>
      <c r="C16" s="24" t="s">
        <v>217</v>
      </c>
      <c r="D16" s="25">
        <v>4.5100000000000001E-2</v>
      </c>
      <c r="E16" s="26">
        <v>10430000</v>
      </c>
      <c r="F16" s="27">
        <f t="shared" si="0"/>
        <v>0.39770000000000005</v>
      </c>
    </row>
    <row r="17" spans="1:7" x14ac:dyDescent="0.3">
      <c r="A17" s="16">
        <v>7</v>
      </c>
      <c r="B17" s="17" t="s">
        <v>218</v>
      </c>
      <c r="C17" s="18" t="s">
        <v>219</v>
      </c>
      <c r="D17" s="19">
        <v>3.6900000000000002E-2</v>
      </c>
      <c r="E17" s="20">
        <v>8540000</v>
      </c>
      <c r="F17" s="21">
        <f t="shared" si="0"/>
        <v>0.43460000000000004</v>
      </c>
    </row>
    <row r="18" spans="1:7" x14ac:dyDescent="0.3">
      <c r="A18" s="22">
        <v>8</v>
      </c>
      <c r="B18" s="23" t="s">
        <v>220</v>
      </c>
      <c r="C18" s="24" t="s">
        <v>221</v>
      </c>
      <c r="D18" s="25">
        <v>3.6499999999999998E-2</v>
      </c>
      <c r="E18" s="26">
        <v>8450000</v>
      </c>
      <c r="F18" s="27">
        <f t="shared" si="0"/>
        <v>0.47110000000000002</v>
      </c>
    </row>
    <row r="19" spans="1:7" x14ac:dyDescent="0.3">
      <c r="A19" s="16">
        <v>9</v>
      </c>
      <c r="B19" s="17" t="s">
        <v>101</v>
      </c>
      <c r="C19" s="18" t="s">
        <v>102</v>
      </c>
      <c r="D19" s="19">
        <v>3.56E-2</v>
      </c>
      <c r="E19" s="20">
        <v>8230000</v>
      </c>
      <c r="F19" s="21">
        <f t="shared" si="0"/>
        <v>0.50670000000000004</v>
      </c>
    </row>
    <row r="20" spans="1:7" x14ac:dyDescent="0.3">
      <c r="A20" s="22">
        <v>10</v>
      </c>
      <c r="B20" s="23" t="s">
        <v>222</v>
      </c>
      <c r="C20" s="24" t="s">
        <v>223</v>
      </c>
      <c r="D20" s="25">
        <v>3.2599999999999997E-2</v>
      </c>
      <c r="E20" s="26">
        <v>7530000</v>
      </c>
      <c r="F20" s="27">
        <f t="shared" si="0"/>
        <v>0.5393</v>
      </c>
    </row>
    <row r="21" spans="1:7" x14ac:dyDescent="0.3">
      <c r="A21" s="16">
        <v>11</v>
      </c>
      <c r="B21" s="17" t="s">
        <v>86</v>
      </c>
      <c r="C21" s="18" t="s">
        <v>87</v>
      </c>
      <c r="D21" s="19">
        <v>3.2300000000000002E-2</v>
      </c>
      <c r="E21" s="20">
        <v>7460000</v>
      </c>
      <c r="F21" s="21">
        <f t="shared" si="0"/>
        <v>0.5716</v>
      </c>
    </row>
    <row r="22" spans="1:7" x14ac:dyDescent="0.3">
      <c r="A22" s="22">
        <v>12</v>
      </c>
      <c r="B22" s="23" t="s">
        <v>224</v>
      </c>
      <c r="C22" s="24" t="s">
        <v>225</v>
      </c>
      <c r="D22" s="25">
        <v>3.1899999999999998E-2</v>
      </c>
      <c r="E22" s="26">
        <v>7380000</v>
      </c>
      <c r="F22" s="27">
        <f t="shared" si="0"/>
        <v>0.60350000000000004</v>
      </c>
    </row>
    <row r="23" spans="1:7" x14ac:dyDescent="0.3">
      <c r="A23" s="16">
        <v>13</v>
      </c>
      <c r="B23" s="17" t="s">
        <v>226</v>
      </c>
      <c r="C23" s="18" t="s">
        <v>227</v>
      </c>
      <c r="D23" s="19">
        <v>2.9499999999999998E-2</v>
      </c>
      <c r="E23" s="20">
        <v>6830000</v>
      </c>
      <c r="F23" s="21">
        <f t="shared" si="0"/>
        <v>0.63300000000000001</v>
      </c>
    </row>
    <row r="24" spans="1:7" x14ac:dyDescent="0.3">
      <c r="A24" s="22">
        <v>14</v>
      </c>
      <c r="B24" s="23" t="s">
        <v>228</v>
      </c>
      <c r="C24" s="24" t="s">
        <v>229</v>
      </c>
      <c r="D24" s="25">
        <v>2.29E-2</v>
      </c>
      <c r="E24" s="26">
        <v>5290000</v>
      </c>
      <c r="F24" s="27">
        <f t="shared" si="0"/>
        <v>0.65590000000000004</v>
      </c>
    </row>
    <row r="25" spans="1:7" x14ac:dyDescent="0.3">
      <c r="A25" s="16">
        <v>15</v>
      </c>
      <c r="B25" s="17" t="s">
        <v>230</v>
      </c>
      <c r="C25" s="18" t="s">
        <v>231</v>
      </c>
      <c r="D25" s="19">
        <v>2.1899999999999999E-2</v>
      </c>
      <c r="E25" s="20">
        <v>5070000</v>
      </c>
      <c r="F25" s="21">
        <f t="shared" si="0"/>
        <v>0.67780000000000007</v>
      </c>
    </row>
    <row r="26" spans="1:7" x14ac:dyDescent="0.3">
      <c r="A26" s="22">
        <v>16</v>
      </c>
      <c r="B26" s="23" t="s">
        <v>232</v>
      </c>
      <c r="C26" s="24" t="s">
        <v>233</v>
      </c>
      <c r="D26" s="25">
        <v>2.1700000000000001E-2</v>
      </c>
      <c r="E26" s="26">
        <v>5020000</v>
      </c>
      <c r="F26" s="27">
        <f t="shared" si="0"/>
        <v>0.69950000000000012</v>
      </c>
    </row>
    <row r="27" spans="1:7" x14ac:dyDescent="0.3">
      <c r="A27" s="16">
        <v>17</v>
      </c>
      <c r="B27" s="17" t="s">
        <v>234</v>
      </c>
      <c r="C27" s="18" t="s">
        <v>235</v>
      </c>
      <c r="D27" s="19">
        <v>2.0299999999999999E-2</v>
      </c>
      <c r="E27" s="20">
        <v>4700000</v>
      </c>
      <c r="F27" s="21">
        <f t="shared" si="0"/>
        <v>0.71980000000000011</v>
      </c>
    </row>
    <row r="28" spans="1:7" x14ac:dyDescent="0.3">
      <c r="A28" s="22">
        <v>18</v>
      </c>
      <c r="B28" s="23" t="s">
        <v>236</v>
      </c>
      <c r="C28" s="24" t="s">
        <v>237</v>
      </c>
      <c r="D28" s="25">
        <v>2.0199999999999999E-2</v>
      </c>
      <c r="E28" s="26">
        <v>4680000</v>
      </c>
      <c r="F28" s="27">
        <f t="shared" si="0"/>
        <v>0.7400000000000001</v>
      </c>
    </row>
    <row r="29" spans="1:7" x14ac:dyDescent="0.3">
      <c r="B29" s="28" t="s">
        <v>88</v>
      </c>
      <c r="C29" s="29"/>
      <c r="D29" s="30">
        <f>SUM(D11:D28)</f>
        <v>0.7400000000000001</v>
      </c>
      <c r="E29" s="31">
        <f>SUM(E11:E28)</f>
        <v>171140000</v>
      </c>
    </row>
    <row r="31" spans="1:7" ht="27.75" customHeight="1" x14ac:dyDescent="0.3">
      <c r="A31" s="2" t="s">
        <v>238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showGridLines="0" zoomScaleNormal="100" workbookViewId="0">
      <selection activeCell="A7" sqref="A7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239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240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55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220</v>
      </c>
      <c r="C11" s="18" t="s">
        <v>221</v>
      </c>
      <c r="D11" s="19">
        <v>0.13739999999999999</v>
      </c>
      <c r="E11" s="20">
        <v>17640000</v>
      </c>
      <c r="F11" s="21">
        <f>D11</f>
        <v>0.13739999999999999</v>
      </c>
    </row>
    <row r="12" spans="1:7" x14ac:dyDescent="0.3">
      <c r="A12" s="22">
        <v>2</v>
      </c>
      <c r="B12" s="23" t="s">
        <v>241</v>
      </c>
      <c r="C12" s="24" t="s">
        <v>242</v>
      </c>
      <c r="D12" s="25">
        <v>0.12870000000000001</v>
      </c>
      <c r="E12" s="26">
        <v>16530000</v>
      </c>
      <c r="F12" s="27">
        <f t="shared" ref="F12:F25" si="0">F11+D12</f>
        <v>0.2661</v>
      </c>
    </row>
    <row r="13" spans="1:7" x14ac:dyDescent="0.3">
      <c r="A13" s="16">
        <v>3</v>
      </c>
      <c r="B13" s="17" t="s">
        <v>232</v>
      </c>
      <c r="C13" s="18" t="s">
        <v>233</v>
      </c>
      <c r="D13" s="19">
        <v>0.1111</v>
      </c>
      <c r="E13" s="20">
        <v>14260000</v>
      </c>
      <c r="F13" s="21">
        <f t="shared" si="0"/>
        <v>0.37719999999999998</v>
      </c>
    </row>
    <row r="14" spans="1:7" x14ac:dyDescent="0.3">
      <c r="A14" s="22">
        <v>4</v>
      </c>
      <c r="B14" s="23" t="s">
        <v>218</v>
      </c>
      <c r="C14" s="24" t="s">
        <v>219</v>
      </c>
      <c r="D14" s="25">
        <v>0.1065</v>
      </c>
      <c r="E14" s="26">
        <v>13680000</v>
      </c>
      <c r="F14" s="27">
        <f t="shared" si="0"/>
        <v>0.48369999999999996</v>
      </c>
    </row>
    <row r="15" spans="1:7" x14ac:dyDescent="0.3">
      <c r="A15" s="16">
        <v>5</v>
      </c>
      <c r="B15" s="17" t="s">
        <v>243</v>
      </c>
      <c r="C15" s="18" t="s">
        <v>244</v>
      </c>
      <c r="D15" s="19">
        <v>8.7400000000000005E-2</v>
      </c>
      <c r="E15" s="20">
        <v>11230000</v>
      </c>
      <c r="F15" s="21">
        <f t="shared" si="0"/>
        <v>0.57109999999999994</v>
      </c>
    </row>
    <row r="16" spans="1:7" x14ac:dyDescent="0.3">
      <c r="A16" s="22">
        <v>6</v>
      </c>
      <c r="B16" s="23" t="s">
        <v>222</v>
      </c>
      <c r="C16" s="24" t="s">
        <v>223</v>
      </c>
      <c r="D16" s="25">
        <v>8.5099999999999995E-2</v>
      </c>
      <c r="E16" s="26">
        <v>10920000</v>
      </c>
      <c r="F16" s="27">
        <f t="shared" si="0"/>
        <v>0.65619999999999989</v>
      </c>
    </row>
    <row r="17" spans="1:7" x14ac:dyDescent="0.3">
      <c r="A17" s="16">
        <v>7</v>
      </c>
      <c r="B17" s="17" t="s">
        <v>245</v>
      </c>
      <c r="C17" s="18" t="s">
        <v>246</v>
      </c>
      <c r="D17" s="19">
        <v>7.8100000000000003E-2</v>
      </c>
      <c r="E17" s="20">
        <v>10030000</v>
      </c>
      <c r="F17" s="21">
        <f t="shared" si="0"/>
        <v>0.73429999999999995</v>
      </c>
    </row>
    <row r="18" spans="1:7" x14ac:dyDescent="0.3">
      <c r="A18" s="22">
        <v>8</v>
      </c>
      <c r="B18" s="23" t="s">
        <v>247</v>
      </c>
      <c r="C18" s="24" t="s">
        <v>248</v>
      </c>
      <c r="D18" s="25">
        <v>6.0499999999999998E-2</v>
      </c>
      <c r="E18" s="26">
        <v>7760000</v>
      </c>
      <c r="F18" s="27">
        <f t="shared" si="0"/>
        <v>0.79479999999999995</v>
      </c>
    </row>
    <row r="19" spans="1:7" x14ac:dyDescent="0.3">
      <c r="A19" s="16">
        <v>9</v>
      </c>
      <c r="B19" s="17" t="s">
        <v>86</v>
      </c>
      <c r="C19" s="18" t="s">
        <v>87</v>
      </c>
      <c r="D19" s="19">
        <v>4.8099999999999997E-2</v>
      </c>
      <c r="E19" s="20">
        <v>6180000</v>
      </c>
      <c r="F19" s="21">
        <f t="shared" si="0"/>
        <v>0.84289999999999998</v>
      </c>
    </row>
    <row r="20" spans="1:7" x14ac:dyDescent="0.3">
      <c r="A20" s="22">
        <v>10</v>
      </c>
      <c r="B20" s="23" t="s">
        <v>249</v>
      </c>
      <c r="C20" s="24" t="s">
        <v>250</v>
      </c>
      <c r="D20" s="25">
        <v>4.3700000000000003E-2</v>
      </c>
      <c r="E20" s="26">
        <v>5610000</v>
      </c>
      <c r="F20" s="27">
        <f t="shared" si="0"/>
        <v>0.88659999999999994</v>
      </c>
    </row>
    <row r="21" spans="1:7" x14ac:dyDescent="0.3">
      <c r="A21" s="16">
        <v>11</v>
      </c>
      <c r="B21" s="17" t="s">
        <v>236</v>
      </c>
      <c r="C21" s="18" t="s">
        <v>237</v>
      </c>
      <c r="D21" s="19">
        <v>3.2500000000000001E-2</v>
      </c>
      <c r="E21" s="20">
        <v>4180000</v>
      </c>
      <c r="F21" s="21">
        <f t="shared" si="0"/>
        <v>0.91909999999999992</v>
      </c>
    </row>
    <row r="22" spans="1:7" x14ac:dyDescent="0.3">
      <c r="A22" s="22">
        <v>12</v>
      </c>
      <c r="B22" s="23" t="s">
        <v>251</v>
      </c>
      <c r="C22" s="24" t="s">
        <v>252</v>
      </c>
      <c r="D22" s="25">
        <v>2.4299999999999999E-2</v>
      </c>
      <c r="E22" s="26">
        <v>3120000</v>
      </c>
      <c r="F22" s="27">
        <f t="shared" si="0"/>
        <v>0.94339999999999991</v>
      </c>
    </row>
    <row r="23" spans="1:7" x14ac:dyDescent="0.3">
      <c r="A23" s="16">
        <v>13</v>
      </c>
      <c r="B23" s="17" t="s">
        <v>253</v>
      </c>
      <c r="C23" s="18" t="s">
        <v>254</v>
      </c>
      <c r="D23" s="19">
        <v>2.3300000000000001E-2</v>
      </c>
      <c r="E23" s="20">
        <v>2990000</v>
      </c>
      <c r="F23" s="21">
        <f t="shared" si="0"/>
        <v>0.96669999999999989</v>
      </c>
    </row>
    <row r="24" spans="1:7" x14ac:dyDescent="0.3">
      <c r="A24" s="22">
        <v>14</v>
      </c>
      <c r="B24" s="23" t="s">
        <v>255</v>
      </c>
      <c r="C24" s="24" t="s">
        <v>256</v>
      </c>
      <c r="D24" s="25">
        <v>1.7299999999999999E-2</v>
      </c>
      <c r="E24" s="26">
        <v>2230000</v>
      </c>
      <c r="F24" s="27">
        <f t="shared" si="0"/>
        <v>0.98399999999999987</v>
      </c>
    </row>
    <row r="25" spans="1:7" x14ac:dyDescent="0.3">
      <c r="A25" s="16">
        <v>15</v>
      </c>
      <c r="B25" s="17" t="s">
        <v>257</v>
      </c>
      <c r="C25" s="18" t="s">
        <v>258</v>
      </c>
      <c r="D25" s="19">
        <v>1.6E-2</v>
      </c>
      <c r="E25" s="20">
        <v>2060000</v>
      </c>
      <c r="F25" s="21">
        <f t="shared" si="0"/>
        <v>0.99999999999999989</v>
      </c>
    </row>
    <row r="26" spans="1:7" x14ac:dyDescent="0.3">
      <c r="B26" s="28" t="s">
        <v>88</v>
      </c>
      <c r="C26" s="29"/>
      <c r="D26" s="30">
        <f>SUM(D11:D25)</f>
        <v>0.99999999999999989</v>
      </c>
      <c r="E26" s="31">
        <f>SUM(E11:E25)</f>
        <v>128420000</v>
      </c>
    </row>
    <row r="28" spans="1:7" ht="27.75" customHeight="1" x14ac:dyDescent="0.3">
      <c r="A28" s="2" t="s">
        <v>259</v>
      </c>
      <c r="B28" s="2"/>
      <c r="C28" s="2"/>
      <c r="D28" s="2"/>
      <c r="E28" s="2"/>
      <c r="F28" s="2"/>
      <c r="G28" s="2"/>
    </row>
  </sheetData>
  <mergeCells count="5">
    <mergeCell ref="A9:G9"/>
    <mergeCell ref="A28:G28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showGridLines="0" zoomScaleNormal="100" workbookViewId="0">
      <selection activeCell="A7" sqref="A7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260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261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262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263</v>
      </c>
      <c r="C11" s="18" t="s">
        <v>264</v>
      </c>
      <c r="D11" s="19">
        <v>0.1341</v>
      </c>
      <c r="E11" s="20">
        <v>283330000</v>
      </c>
      <c r="F11" s="21">
        <f>D11</f>
        <v>0.1341</v>
      </c>
    </row>
    <row r="12" spans="1:7" x14ac:dyDescent="0.3">
      <c r="A12" s="22">
        <v>2</v>
      </c>
      <c r="B12" s="23" t="s">
        <v>265</v>
      </c>
      <c r="C12" s="24" t="s">
        <v>266</v>
      </c>
      <c r="D12" s="25">
        <v>6.6900000000000001E-2</v>
      </c>
      <c r="E12" s="26">
        <v>141070000</v>
      </c>
      <c r="F12" s="27">
        <f t="shared" ref="F12:F28" si="0">F11+D12</f>
        <v>0.20100000000000001</v>
      </c>
    </row>
    <row r="13" spans="1:7" x14ac:dyDescent="0.3">
      <c r="A13" s="16">
        <v>3</v>
      </c>
      <c r="B13" s="17" t="s">
        <v>267</v>
      </c>
      <c r="C13" s="18" t="s">
        <v>268</v>
      </c>
      <c r="D13" s="19">
        <v>5.74E-2</v>
      </c>
      <c r="E13" s="20">
        <v>122080000</v>
      </c>
      <c r="F13" s="21">
        <f t="shared" si="0"/>
        <v>0.25840000000000002</v>
      </c>
    </row>
    <row r="14" spans="1:7" x14ac:dyDescent="0.3">
      <c r="A14" s="22">
        <v>4</v>
      </c>
      <c r="B14" s="23" t="s">
        <v>269</v>
      </c>
      <c r="C14" s="24" t="s">
        <v>270</v>
      </c>
      <c r="D14" s="25">
        <v>4.4699999999999997E-2</v>
      </c>
      <c r="E14" s="26">
        <v>94620000</v>
      </c>
      <c r="F14" s="27">
        <f t="shared" si="0"/>
        <v>0.30310000000000004</v>
      </c>
    </row>
    <row r="15" spans="1:7" x14ac:dyDescent="0.3">
      <c r="A15" s="16">
        <v>5</v>
      </c>
      <c r="B15" s="17" t="s">
        <v>271</v>
      </c>
      <c r="C15" s="18" t="s">
        <v>272</v>
      </c>
      <c r="D15" s="19">
        <v>3.5099999999999999E-2</v>
      </c>
      <c r="E15" s="20">
        <v>74680000</v>
      </c>
      <c r="F15" s="21">
        <f t="shared" si="0"/>
        <v>0.33820000000000006</v>
      </c>
    </row>
    <row r="16" spans="1:7" x14ac:dyDescent="0.3">
      <c r="A16" s="22">
        <v>6</v>
      </c>
      <c r="B16" s="23" t="s">
        <v>273</v>
      </c>
      <c r="C16" s="24" t="s">
        <v>274</v>
      </c>
      <c r="D16" s="25">
        <v>3.3500000000000002E-2</v>
      </c>
      <c r="E16" s="26">
        <v>71250000</v>
      </c>
      <c r="F16" s="27">
        <f t="shared" si="0"/>
        <v>0.37170000000000003</v>
      </c>
    </row>
    <row r="17" spans="1:7" x14ac:dyDescent="0.3">
      <c r="A17" s="16">
        <v>7</v>
      </c>
      <c r="B17" s="17" t="s">
        <v>275</v>
      </c>
      <c r="C17" s="18" t="s">
        <v>276</v>
      </c>
      <c r="D17" s="19">
        <v>3.3399999999999999E-2</v>
      </c>
      <c r="E17" s="20">
        <v>70730000</v>
      </c>
      <c r="F17" s="21">
        <f t="shared" si="0"/>
        <v>0.40510000000000002</v>
      </c>
    </row>
    <row r="18" spans="1:7" x14ac:dyDescent="0.3">
      <c r="A18" s="22">
        <v>8</v>
      </c>
      <c r="B18" s="23" t="s">
        <v>277</v>
      </c>
      <c r="C18" s="24" t="s">
        <v>278</v>
      </c>
      <c r="D18" s="25">
        <v>2.93E-2</v>
      </c>
      <c r="E18" s="26">
        <v>61710000</v>
      </c>
      <c r="F18" s="27">
        <f t="shared" si="0"/>
        <v>0.43440000000000001</v>
      </c>
    </row>
    <row r="19" spans="1:7" x14ac:dyDescent="0.3">
      <c r="A19" s="16">
        <v>9</v>
      </c>
      <c r="B19" s="17" t="s">
        <v>279</v>
      </c>
      <c r="C19" s="18" t="s">
        <v>280</v>
      </c>
      <c r="D19" s="19">
        <v>2.3099999999999999E-2</v>
      </c>
      <c r="E19" s="20">
        <v>49090000</v>
      </c>
      <c r="F19" s="21">
        <f t="shared" si="0"/>
        <v>0.45750000000000002</v>
      </c>
    </row>
    <row r="20" spans="1:7" x14ac:dyDescent="0.3">
      <c r="A20" s="22">
        <v>10</v>
      </c>
      <c r="B20" s="23" t="s">
        <v>281</v>
      </c>
      <c r="C20" s="24" t="s">
        <v>282</v>
      </c>
      <c r="D20" s="25">
        <v>2.1100000000000001E-2</v>
      </c>
      <c r="E20" s="26">
        <v>44860000</v>
      </c>
      <c r="F20" s="27">
        <f t="shared" si="0"/>
        <v>0.47860000000000003</v>
      </c>
    </row>
    <row r="21" spans="1:7" x14ac:dyDescent="0.3">
      <c r="A21" s="16">
        <v>11</v>
      </c>
      <c r="B21" s="17" t="s">
        <v>283</v>
      </c>
      <c r="C21" s="18" t="s">
        <v>284</v>
      </c>
      <c r="D21" s="19">
        <v>1.7600000000000001E-2</v>
      </c>
      <c r="E21" s="20">
        <v>37560000</v>
      </c>
      <c r="F21" s="21">
        <f t="shared" si="0"/>
        <v>0.49620000000000003</v>
      </c>
    </row>
    <row r="22" spans="1:7" x14ac:dyDescent="0.3">
      <c r="A22" s="22">
        <v>12</v>
      </c>
      <c r="B22" s="23" t="s">
        <v>285</v>
      </c>
      <c r="C22" s="24" t="s">
        <v>286</v>
      </c>
      <c r="D22" s="25">
        <v>1.7399999999999999E-2</v>
      </c>
      <c r="E22" s="26">
        <v>36720000</v>
      </c>
      <c r="F22" s="27">
        <f t="shared" si="0"/>
        <v>0.51360000000000006</v>
      </c>
    </row>
    <row r="23" spans="1:7" x14ac:dyDescent="0.3">
      <c r="A23" s="16">
        <v>13</v>
      </c>
      <c r="B23" s="17" t="s">
        <v>287</v>
      </c>
      <c r="C23" s="18" t="s">
        <v>288</v>
      </c>
      <c r="D23" s="19">
        <v>1.3899999999999999E-2</v>
      </c>
      <c r="E23" s="20">
        <v>29270000</v>
      </c>
      <c r="F23" s="21">
        <f t="shared" si="0"/>
        <v>0.52750000000000008</v>
      </c>
    </row>
    <row r="24" spans="1:7" x14ac:dyDescent="0.3">
      <c r="A24" s="22">
        <v>14</v>
      </c>
      <c r="B24" s="23" t="s">
        <v>289</v>
      </c>
      <c r="C24" s="24" t="s">
        <v>290</v>
      </c>
      <c r="D24" s="25">
        <v>1.2800000000000001E-2</v>
      </c>
      <c r="E24" s="26">
        <v>27150000</v>
      </c>
      <c r="F24" s="27">
        <f t="shared" si="0"/>
        <v>0.54030000000000011</v>
      </c>
    </row>
    <row r="25" spans="1:7" x14ac:dyDescent="0.3">
      <c r="A25" s="16">
        <v>15</v>
      </c>
      <c r="B25" s="17" t="s">
        <v>291</v>
      </c>
      <c r="C25" s="18" t="s">
        <v>292</v>
      </c>
      <c r="D25" s="19">
        <v>1.2500000000000001E-2</v>
      </c>
      <c r="E25" s="20">
        <v>26510000</v>
      </c>
      <c r="F25" s="21">
        <f t="shared" si="0"/>
        <v>0.55280000000000007</v>
      </c>
    </row>
    <row r="26" spans="1:7" x14ac:dyDescent="0.3">
      <c r="A26" s="22">
        <v>16</v>
      </c>
      <c r="B26" s="23" t="s">
        <v>293</v>
      </c>
      <c r="C26" s="24" t="s">
        <v>294</v>
      </c>
      <c r="D26" s="25">
        <v>1.1900000000000001E-2</v>
      </c>
      <c r="E26" s="26">
        <v>25260000</v>
      </c>
      <c r="F26" s="27">
        <f t="shared" si="0"/>
        <v>0.56470000000000009</v>
      </c>
    </row>
    <row r="27" spans="1:7" x14ac:dyDescent="0.3">
      <c r="A27" s="16">
        <v>17</v>
      </c>
      <c r="B27" s="17" t="s">
        <v>295</v>
      </c>
      <c r="C27" s="18" t="s">
        <v>296</v>
      </c>
      <c r="D27" s="19">
        <v>1.17E-2</v>
      </c>
      <c r="E27" s="20">
        <v>25030000</v>
      </c>
      <c r="F27" s="21">
        <f t="shared" si="0"/>
        <v>0.57640000000000013</v>
      </c>
    </row>
    <row r="28" spans="1:7" x14ac:dyDescent="0.3">
      <c r="A28" s="22">
        <v>18</v>
      </c>
      <c r="B28" s="23" t="s">
        <v>297</v>
      </c>
      <c r="C28" s="24" t="s">
        <v>298</v>
      </c>
      <c r="D28" s="25">
        <v>1.17E-2</v>
      </c>
      <c r="E28" s="26">
        <v>24870000</v>
      </c>
      <c r="F28" s="27">
        <f t="shared" si="0"/>
        <v>0.58810000000000018</v>
      </c>
    </row>
    <row r="29" spans="1:7" x14ac:dyDescent="0.3">
      <c r="B29" s="28" t="s">
        <v>88</v>
      </c>
      <c r="C29" s="29"/>
      <c r="D29" s="30">
        <f>SUM(D11:D28)</f>
        <v>0.58810000000000018</v>
      </c>
      <c r="E29" s="31">
        <f>SUM(E11:E28)</f>
        <v>1245790000</v>
      </c>
    </row>
    <row r="31" spans="1:7" ht="27.75" customHeight="1" x14ac:dyDescent="0.3">
      <c r="A31" s="2" t="s">
        <v>299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showGridLines="0" zoomScaleNormal="100" workbookViewId="0">
      <selection activeCell="A4" sqref="A4:G6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300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301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302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263</v>
      </c>
      <c r="C11" s="18" t="s">
        <v>264</v>
      </c>
      <c r="D11" s="19">
        <v>5.3900000000000003E-2</v>
      </c>
      <c r="E11" s="20">
        <v>400190000</v>
      </c>
      <c r="F11" s="21">
        <f>D11</f>
        <v>5.3900000000000003E-2</v>
      </c>
    </row>
    <row r="12" spans="1:7" x14ac:dyDescent="0.3">
      <c r="A12" s="22">
        <v>2</v>
      </c>
      <c r="B12" s="23" t="s">
        <v>283</v>
      </c>
      <c r="C12" s="24" t="s">
        <v>284</v>
      </c>
      <c r="D12" s="25">
        <v>5.3699999999999998E-2</v>
      </c>
      <c r="E12" s="26">
        <v>408660000</v>
      </c>
      <c r="F12" s="27">
        <f t="shared" ref="F12:F28" si="0">F11+D12</f>
        <v>0.1076</v>
      </c>
    </row>
    <row r="13" spans="1:7" x14ac:dyDescent="0.3">
      <c r="A13" s="16">
        <v>3</v>
      </c>
      <c r="B13" s="17" t="s">
        <v>269</v>
      </c>
      <c r="C13" s="18" t="s">
        <v>270</v>
      </c>
      <c r="D13" s="19">
        <v>5.2499999999999998E-2</v>
      </c>
      <c r="E13" s="20">
        <v>383920000</v>
      </c>
      <c r="F13" s="21">
        <f t="shared" si="0"/>
        <v>0.16009999999999999</v>
      </c>
    </row>
    <row r="14" spans="1:7" x14ac:dyDescent="0.3">
      <c r="A14" s="22">
        <v>4</v>
      </c>
      <c r="B14" s="23" t="s">
        <v>303</v>
      </c>
      <c r="C14" s="24" t="s">
        <v>304</v>
      </c>
      <c r="D14" s="25">
        <v>5.2400000000000002E-2</v>
      </c>
      <c r="E14" s="26">
        <v>391240000</v>
      </c>
      <c r="F14" s="27">
        <f t="shared" si="0"/>
        <v>0.21249999999999999</v>
      </c>
    </row>
    <row r="15" spans="1:7" x14ac:dyDescent="0.3">
      <c r="A15" s="16">
        <v>5</v>
      </c>
      <c r="B15" s="17" t="s">
        <v>305</v>
      </c>
      <c r="C15" s="18" t="s">
        <v>306</v>
      </c>
      <c r="D15" s="19">
        <v>5.21E-2</v>
      </c>
      <c r="E15" s="20">
        <v>384760000</v>
      </c>
      <c r="F15" s="21">
        <f t="shared" si="0"/>
        <v>0.2646</v>
      </c>
    </row>
    <row r="16" spans="1:7" x14ac:dyDescent="0.3">
      <c r="A16" s="22">
        <v>6</v>
      </c>
      <c r="B16" s="23" t="s">
        <v>307</v>
      </c>
      <c r="C16" s="24" t="s">
        <v>308</v>
      </c>
      <c r="D16" s="25">
        <v>5.1700000000000003E-2</v>
      </c>
      <c r="E16" s="26">
        <v>388210000</v>
      </c>
      <c r="F16" s="27">
        <f t="shared" si="0"/>
        <v>0.31630000000000003</v>
      </c>
    </row>
    <row r="17" spans="1:7" x14ac:dyDescent="0.3">
      <c r="A17" s="16">
        <v>7</v>
      </c>
      <c r="B17" s="17" t="s">
        <v>291</v>
      </c>
      <c r="C17" s="18" t="s">
        <v>292</v>
      </c>
      <c r="D17" s="19">
        <v>5.0999999999999997E-2</v>
      </c>
      <c r="E17" s="20">
        <v>389600000</v>
      </c>
      <c r="F17" s="21">
        <f t="shared" si="0"/>
        <v>0.36730000000000002</v>
      </c>
    </row>
    <row r="18" spans="1:7" x14ac:dyDescent="0.3">
      <c r="A18" s="22">
        <v>8</v>
      </c>
      <c r="B18" s="23" t="s">
        <v>309</v>
      </c>
      <c r="C18" s="24" t="s">
        <v>310</v>
      </c>
      <c r="D18" s="25">
        <v>4.8099999999999997E-2</v>
      </c>
      <c r="E18" s="26">
        <v>347700000</v>
      </c>
      <c r="F18" s="27">
        <f t="shared" si="0"/>
        <v>0.41539999999999999</v>
      </c>
    </row>
    <row r="19" spans="1:7" x14ac:dyDescent="0.3">
      <c r="A19" s="16">
        <v>9</v>
      </c>
      <c r="B19" s="17" t="s">
        <v>267</v>
      </c>
      <c r="C19" s="18" t="s">
        <v>268</v>
      </c>
      <c r="D19" s="19">
        <v>4.6800000000000001E-2</v>
      </c>
      <c r="E19" s="20">
        <v>358370000</v>
      </c>
      <c r="F19" s="21">
        <f t="shared" si="0"/>
        <v>0.4622</v>
      </c>
    </row>
    <row r="20" spans="1:7" x14ac:dyDescent="0.3">
      <c r="A20" s="22">
        <v>10</v>
      </c>
      <c r="B20" s="23" t="s">
        <v>311</v>
      </c>
      <c r="C20" s="24" t="s">
        <v>312</v>
      </c>
      <c r="D20" s="25">
        <v>4.5699999999999998E-2</v>
      </c>
      <c r="E20" s="26">
        <v>357950000</v>
      </c>
      <c r="F20" s="27">
        <f t="shared" si="0"/>
        <v>0.50790000000000002</v>
      </c>
    </row>
    <row r="21" spans="1:7" x14ac:dyDescent="0.3">
      <c r="A21" s="16">
        <v>11</v>
      </c>
      <c r="B21" s="17" t="s">
        <v>313</v>
      </c>
      <c r="C21" s="18" t="s">
        <v>314</v>
      </c>
      <c r="D21" s="19">
        <v>4.5699999999999998E-2</v>
      </c>
      <c r="E21" s="20">
        <v>339790000</v>
      </c>
      <c r="F21" s="21">
        <f t="shared" si="0"/>
        <v>0.55359999999999998</v>
      </c>
    </row>
    <row r="22" spans="1:7" x14ac:dyDescent="0.3">
      <c r="A22" s="22">
        <v>12</v>
      </c>
      <c r="B22" s="23" t="s">
        <v>315</v>
      </c>
      <c r="C22" s="24" t="s">
        <v>316</v>
      </c>
      <c r="D22" s="25">
        <v>4.1700000000000001E-2</v>
      </c>
      <c r="E22" s="26">
        <v>297150000</v>
      </c>
      <c r="F22" s="27">
        <f t="shared" si="0"/>
        <v>0.59529999999999994</v>
      </c>
    </row>
    <row r="23" spans="1:7" x14ac:dyDescent="0.3">
      <c r="A23" s="16">
        <v>13</v>
      </c>
      <c r="B23" s="17" t="s">
        <v>317</v>
      </c>
      <c r="C23" s="18" t="s">
        <v>318</v>
      </c>
      <c r="D23" s="19">
        <v>3.61E-2</v>
      </c>
      <c r="E23" s="20">
        <v>266150000</v>
      </c>
      <c r="F23" s="21">
        <f t="shared" si="0"/>
        <v>0.63139999999999996</v>
      </c>
    </row>
    <row r="24" spans="1:7" x14ac:dyDescent="0.3">
      <c r="A24" s="22">
        <v>14</v>
      </c>
      <c r="B24" s="23" t="s">
        <v>319</v>
      </c>
      <c r="C24" s="24" t="s">
        <v>320</v>
      </c>
      <c r="D24" s="25">
        <v>3.5799999999999998E-2</v>
      </c>
      <c r="E24" s="26">
        <v>269750000</v>
      </c>
      <c r="F24" s="27">
        <f t="shared" si="0"/>
        <v>0.66720000000000002</v>
      </c>
    </row>
    <row r="25" spans="1:7" x14ac:dyDescent="0.3">
      <c r="A25" s="16">
        <v>15</v>
      </c>
      <c r="B25" s="17" t="s">
        <v>321</v>
      </c>
      <c r="C25" s="18" t="s">
        <v>322</v>
      </c>
      <c r="D25" s="19">
        <v>3.5099999999999999E-2</v>
      </c>
      <c r="E25" s="20">
        <v>268920000</v>
      </c>
      <c r="F25" s="21">
        <f t="shared" si="0"/>
        <v>0.70230000000000004</v>
      </c>
    </row>
    <row r="26" spans="1:7" x14ac:dyDescent="0.3">
      <c r="A26" s="22">
        <v>16</v>
      </c>
      <c r="B26" s="23" t="s">
        <v>323</v>
      </c>
      <c r="C26" s="24" t="s">
        <v>324</v>
      </c>
      <c r="D26" s="25">
        <v>3.5000000000000003E-2</v>
      </c>
      <c r="E26" s="26">
        <v>250900000</v>
      </c>
      <c r="F26" s="27">
        <f t="shared" si="0"/>
        <v>0.73730000000000007</v>
      </c>
    </row>
    <row r="27" spans="1:7" x14ac:dyDescent="0.3">
      <c r="A27" s="16">
        <v>17</v>
      </c>
      <c r="B27" s="17" t="s">
        <v>325</v>
      </c>
      <c r="C27" s="18" t="s">
        <v>326</v>
      </c>
      <c r="D27" s="19">
        <v>3.2899999999999999E-2</v>
      </c>
      <c r="E27" s="20">
        <v>243610000</v>
      </c>
      <c r="F27" s="21">
        <f t="shared" si="0"/>
        <v>0.77020000000000011</v>
      </c>
    </row>
    <row r="28" spans="1:7" x14ac:dyDescent="0.3">
      <c r="A28" s="22">
        <v>18</v>
      </c>
      <c r="B28" s="23" t="s">
        <v>327</v>
      </c>
      <c r="C28" s="24" t="s">
        <v>328</v>
      </c>
      <c r="D28" s="25">
        <v>2.4E-2</v>
      </c>
      <c r="E28" s="26">
        <v>174500000</v>
      </c>
      <c r="F28" s="27">
        <f t="shared" si="0"/>
        <v>0.79420000000000013</v>
      </c>
    </row>
    <row r="29" spans="1:7" x14ac:dyDescent="0.3">
      <c r="B29" s="28" t="s">
        <v>88</v>
      </c>
      <c r="C29" s="29"/>
      <c r="D29" s="30">
        <f>SUM(D11:D28)</f>
        <v>0.79420000000000013</v>
      </c>
      <c r="E29" s="31">
        <f>SUM(E11:E28)</f>
        <v>5921370000</v>
      </c>
    </row>
    <row r="31" spans="1:7" ht="27.75" customHeight="1" x14ac:dyDescent="0.3">
      <c r="A31" s="2" t="s">
        <v>329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1"/>
  <sheetViews>
    <sheetView showGridLines="0" zoomScaleNormal="100" workbookViewId="0">
      <selection activeCell="A7" sqref="A7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330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331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332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333</v>
      </c>
      <c r="C11" s="18" t="s">
        <v>334</v>
      </c>
      <c r="D11" s="19">
        <v>1.4500000000000001E-2</v>
      </c>
      <c r="E11" s="20">
        <v>418627</v>
      </c>
      <c r="F11" s="21">
        <f>D11</f>
        <v>1.4500000000000001E-2</v>
      </c>
    </row>
    <row r="12" spans="1:7" x14ac:dyDescent="0.3">
      <c r="A12" s="22">
        <v>2</v>
      </c>
      <c r="B12" s="23" t="s">
        <v>335</v>
      </c>
      <c r="C12" s="24" t="s">
        <v>336</v>
      </c>
      <c r="D12" s="25">
        <v>1.37E-2</v>
      </c>
      <c r="E12" s="26">
        <v>392876</v>
      </c>
      <c r="F12" s="27">
        <f t="shared" ref="F12:F28" si="0">F11+D12</f>
        <v>2.8200000000000003E-2</v>
      </c>
    </row>
    <row r="13" spans="1:7" x14ac:dyDescent="0.3">
      <c r="A13" s="16">
        <v>3</v>
      </c>
      <c r="B13" s="17" t="s">
        <v>337</v>
      </c>
      <c r="C13" s="18" t="s">
        <v>338</v>
      </c>
      <c r="D13" s="19">
        <v>1.3299999999999999E-2</v>
      </c>
      <c r="E13" s="20">
        <v>381461</v>
      </c>
      <c r="F13" s="21">
        <f t="shared" si="0"/>
        <v>4.1500000000000002E-2</v>
      </c>
    </row>
    <row r="14" spans="1:7" x14ac:dyDescent="0.3">
      <c r="A14" s="22">
        <v>4</v>
      </c>
      <c r="B14" s="23" t="s">
        <v>339</v>
      </c>
      <c r="C14" s="24" t="s">
        <v>340</v>
      </c>
      <c r="D14" s="25">
        <v>1.32E-2</v>
      </c>
      <c r="E14" s="26">
        <v>378868</v>
      </c>
      <c r="F14" s="27">
        <f t="shared" si="0"/>
        <v>5.4699999999999999E-2</v>
      </c>
    </row>
    <row r="15" spans="1:7" x14ac:dyDescent="0.3">
      <c r="A15" s="16">
        <v>5</v>
      </c>
      <c r="B15" s="17" t="s">
        <v>341</v>
      </c>
      <c r="C15" s="18" t="s">
        <v>342</v>
      </c>
      <c r="D15" s="19">
        <v>1.26E-2</v>
      </c>
      <c r="E15" s="20">
        <v>361863</v>
      </c>
      <c r="F15" s="21">
        <f t="shared" si="0"/>
        <v>6.7299999999999999E-2</v>
      </c>
    </row>
    <row r="16" spans="1:7" x14ac:dyDescent="0.3">
      <c r="A16" s="22">
        <v>6</v>
      </c>
      <c r="B16" s="23" t="s">
        <v>343</v>
      </c>
      <c r="C16" s="24" t="s">
        <v>344</v>
      </c>
      <c r="D16" s="25">
        <v>1.24E-2</v>
      </c>
      <c r="E16" s="26">
        <v>357704</v>
      </c>
      <c r="F16" s="27">
        <f t="shared" si="0"/>
        <v>7.9699999999999993E-2</v>
      </c>
    </row>
    <row r="17" spans="1:7" x14ac:dyDescent="0.3">
      <c r="A17" s="16">
        <v>7</v>
      </c>
      <c r="B17" s="17" t="s">
        <v>345</v>
      </c>
      <c r="C17" s="18" t="s">
        <v>346</v>
      </c>
      <c r="D17" s="19">
        <v>1.21E-2</v>
      </c>
      <c r="E17" s="20">
        <v>349565</v>
      </c>
      <c r="F17" s="21">
        <f t="shared" si="0"/>
        <v>9.1799999999999993E-2</v>
      </c>
    </row>
    <row r="18" spans="1:7" x14ac:dyDescent="0.3">
      <c r="A18" s="22">
        <v>8</v>
      </c>
      <c r="B18" s="23" t="s">
        <v>347</v>
      </c>
      <c r="C18" s="24" t="s">
        <v>348</v>
      </c>
      <c r="D18" s="25">
        <v>1.1900000000000001E-2</v>
      </c>
      <c r="E18" s="26">
        <v>342375</v>
      </c>
      <c r="F18" s="27">
        <f t="shared" si="0"/>
        <v>0.10369999999999999</v>
      </c>
    </row>
    <row r="19" spans="1:7" x14ac:dyDescent="0.3">
      <c r="A19" s="16">
        <v>9</v>
      </c>
      <c r="B19" s="17" t="s">
        <v>349</v>
      </c>
      <c r="C19" s="18" t="s">
        <v>350</v>
      </c>
      <c r="D19" s="19">
        <v>1.17E-2</v>
      </c>
      <c r="E19" s="20">
        <v>338164</v>
      </c>
      <c r="F19" s="21">
        <f t="shared" si="0"/>
        <v>0.11539999999999999</v>
      </c>
    </row>
    <row r="20" spans="1:7" x14ac:dyDescent="0.3">
      <c r="A20" s="22">
        <v>10</v>
      </c>
      <c r="B20" s="23" t="s">
        <v>351</v>
      </c>
      <c r="C20" s="24" t="s">
        <v>352</v>
      </c>
      <c r="D20" s="25">
        <v>1.17E-2</v>
      </c>
      <c r="E20" s="26">
        <v>337441</v>
      </c>
      <c r="F20" s="27">
        <f t="shared" si="0"/>
        <v>0.12709999999999999</v>
      </c>
    </row>
    <row r="21" spans="1:7" x14ac:dyDescent="0.3">
      <c r="A21" s="16">
        <v>11</v>
      </c>
      <c r="B21" s="17" t="s">
        <v>353</v>
      </c>
      <c r="C21" s="18" t="s">
        <v>354</v>
      </c>
      <c r="D21" s="19">
        <v>1.1599999999999999E-2</v>
      </c>
      <c r="E21" s="20">
        <v>334175</v>
      </c>
      <c r="F21" s="21">
        <f t="shared" si="0"/>
        <v>0.13869999999999999</v>
      </c>
    </row>
    <row r="22" spans="1:7" x14ac:dyDescent="0.3">
      <c r="A22" s="22">
        <v>12</v>
      </c>
      <c r="B22" s="23" t="s">
        <v>355</v>
      </c>
      <c r="C22" s="24" t="s">
        <v>356</v>
      </c>
      <c r="D22" s="25">
        <v>1.15E-2</v>
      </c>
      <c r="E22" s="26">
        <v>332133</v>
      </c>
      <c r="F22" s="27">
        <f t="shared" si="0"/>
        <v>0.1502</v>
      </c>
    </row>
    <row r="23" spans="1:7" x14ac:dyDescent="0.3">
      <c r="A23" s="16">
        <v>13</v>
      </c>
      <c r="B23" s="17" t="s">
        <v>357</v>
      </c>
      <c r="C23" s="18" t="s">
        <v>358</v>
      </c>
      <c r="D23" s="19">
        <v>1.15E-2</v>
      </c>
      <c r="E23" s="20">
        <v>331774</v>
      </c>
      <c r="F23" s="21">
        <f t="shared" si="0"/>
        <v>0.16170000000000001</v>
      </c>
    </row>
    <row r="24" spans="1:7" x14ac:dyDescent="0.3">
      <c r="A24" s="22">
        <v>14</v>
      </c>
      <c r="B24" s="23" t="s">
        <v>359</v>
      </c>
      <c r="C24" s="24" t="s">
        <v>360</v>
      </c>
      <c r="D24" s="25">
        <v>1.15E-2</v>
      </c>
      <c r="E24" s="26">
        <v>330739</v>
      </c>
      <c r="F24" s="27">
        <f t="shared" si="0"/>
        <v>0.17320000000000002</v>
      </c>
    </row>
    <row r="25" spans="1:7" x14ac:dyDescent="0.3">
      <c r="A25" s="16">
        <v>15</v>
      </c>
      <c r="B25" s="17" t="s">
        <v>361</v>
      </c>
      <c r="C25" s="18" t="s">
        <v>362</v>
      </c>
      <c r="D25" s="19">
        <v>1.14E-2</v>
      </c>
      <c r="E25" s="20">
        <v>329634</v>
      </c>
      <c r="F25" s="21">
        <f t="shared" si="0"/>
        <v>0.18460000000000001</v>
      </c>
    </row>
    <row r="26" spans="1:7" x14ac:dyDescent="0.3">
      <c r="A26" s="22">
        <v>16</v>
      </c>
      <c r="B26" s="23" t="s">
        <v>363</v>
      </c>
      <c r="C26" s="24" t="s">
        <v>364</v>
      </c>
      <c r="D26" s="25">
        <v>1.1299999999999999E-2</v>
      </c>
      <c r="E26" s="26">
        <v>326070</v>
      </c>
      <c r="F26" s="27">
        <f t="shared" si="0"/>
        <v>0.19590000000000002</v>
      </c>
    </row>
    <row r="27" spans="1:7" x14ac:dyDescent="0.3">
      <c r="A27" s="16">
        <v>17</v>
      </c>
      <c r="B27" s="17" t="s">
        <v>365</v>
      </c>
      <c r="C27" s="18" t="s">
        <v>366</v>
      </c>
      <c r="D27" s="19">
        <v>1.1299999999999999E-2</v>
      </c>
      <c r="E27" s="20">
        <v>326058</v>
      </c>
      <c r="F27" s="21">
        <f t="shared" si="0"/>
        <v>0.20720000000000002</v>
      </c>
    </row>
    <row r="28" spans="1:7" x14ac:dyDescent="0.3">
      <c r="A28" s="22">
        <v>18</v>
      </c>
      <c r="B28" s="23" t="s">
        <v>185</v>
      </c>
      <c r="C28" s="24" t="s">
        <v>186</v>
      </c>
      <c r="D28" s="25">
        <v>1.12E-2</v>
      </c>
      <c r="E28" s="26">
        <v>322244</v>
      </c>
      <c r="F28" s="27">
        <f t="shared" si="0"/>
        <v>0.21840000000000001</v>
      </c>
    </row>
    <row r="29" spans="1:7" x14ac:dyDescent="0.3">
      <c r="B29" s="28" t="s">
        <v>88</v>
      </c>
      <c r="C29" s="29"/>
      <c r="D29" s="30">
        <f>SUM(D11:D28)</f>
        <v>0.21840000000000001</v>
      </c>
      <c r="E29" s="31">
        <f>SUM(E11:E28)</f>
        <v>6291771</v>
      </c>
    </row>
    <row r="31" spans="1:7" ht="27.75" customHeight="1" x14ac:dyDescent="0.3">
      <c r="A31" s="2" t="s">
        <v>367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1"/>
  <sheetViews>
    <sheetView showGridLines="0" zoomScaleNormal="100" workbookViewId="0">
      <selection activeCell="A7" sqref="A7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368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369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128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370</v>
      </c>
      <c r="C11" s="18" t="s">
        <v>371</v>
      </c>
      <c r="D11" s="19">
        <v>9.6199999999999994E-2</v>
      </c>
      <c r="E11" s="20">
        <v>231040000</v>
      </c>
      <c r="F11" s="21">
        <f>D11</f>
        <v>9.6199999999999994E-2</v>
      </c>
    </row>
    <row r="12" spans="1:7" x14ac:dyDescent="0.3">
      <c r="A12" s="22">
        <v>2</v>
      </c>
      <c r="B12" s="23" t="s">
        <v>372</v>
      </c>
      <c r="C12" s="24" t="s">
        <v>373</v>
      </c>
      <c r="D12" s="25">
        <v>6.4500000000000002E-2</v>
      </c>
      <c r="E12" s="26">
        <v>158790000</v>
      </c>
      <c r="F12" s="27">
        <f t="shared" ref="F12:F28" si="0">F11+D12</f>
        <v>0.16070000000000001</v>
      </c>
    </row>
    <row r="13" spans="1:7" x14ac:dyDescent="0.3">
      <c r="A13" s="16">
        <v>3</v>
      </c>
      <c r="B13" s="17" t="s">
        <v>374</v>
      </c>
      <c r="C13" s="18" t="s">
        <v>375</v>
      </c>
      <c r="D13" s="19">
        <v>6.3700000000000007E-2</v>
      </c>
      <c r="E13" s="20">
        <v>152920000</v>
      </c>
      <c r="F13" s="21">
        <f t="shared" si="0"/>
        <v>0.22440000000000002</v>
      </c>
    </row>
    <row r="14" spans="1:7" x14ac:dyDescent="0.3">
      <c r="A14" s="22">
        <v>4</v>
      </c>
      <c r="B14" s="23" t="s">
        <v>376</v>
      </c>
      <c r="C14" s="24" t="s">
        <v>377</v>
      </c>
      <c r="D14" s="25">
        <v>6.3600000000000004E-2</v>
      </c>
      <c r="E14" s="26">
        <v>154480000</v>
      </c>
      <c r="F14" s="27">
        <f t="shared" si="0"/>
        <v>0.28800000000000003</v>
      </c>
    </row>
    <row r="15" spans="1:7" x14ac:dyDescent="0.3">
      <c r="A15" s="16">
        <v>5</v>
      </c>
      <c r="B15" s="17" t="s">
        <v>378</v>
      </c>
      <c r="C15" s="18" t="s">
        <v>379</v>
      </c>
      <c r="D15" s="19">
        <v>5.5399999999999998E-2</v>
      </c>
      <c r="E15" s="20">
        <v>139910000</v>
      </c>
      <c r="F15" s="21">
        <f t="shared" si="0"/>
        <v>0.34340000000000004</v>
      </c>
    </row>
    <row r="16" spans="1:7" x14ac:dyDescent="0.3">
      <c r="A16" s="22">
        <v>6</v>
      </c>
      <c r="B16" s="23" t="s">
        <v>380</v>
      </c>
      <c r="C16" s="24" t="s">
        <v>381</v>
      </c>
      <c r="D16" s="25">
        <v>5.3699999999999998E-2</v>
      </c>
      <c r="E16" s="26">
        <v>135050000</v>
      </c>
      <c r="F16" s="27">
        <f t="shared" si="0"/>
        <v>0.39710000000000001</v>
      </c>
    </row>
    <row r="17" spans="1:7" x14ac:dyDescent="0.3">
      <c r="A17" s="16">
        <v>7</v>
      </c>
      <c r="B17" s="17" t="s">
        <v>382</v>
      </c>
      <c r="C17" s="18" t="s">
        <v>383</v>
      </c>
      <c r="D17" s="19">
        <v>5.45E-2</v>
      </c>
      <c r="E17" s="20">
        <v>126890000</v>
      </c>
      <c r="F17" s="21">
        <f t="shared" si="0"/>
        <v>0.4516</v>
      </c>
    </row>
    <row r="18" spans="1:7" x14ac:dyDescent="0.3">
      <c r="A18" s="22">
        <v>8</v>
      </c>
      <c r="B18" s="23" t="s">
        <v>384</v>
      </c>
      <c r="C18" s="24" t="s">
        <v>385</v>
      </c>
      <c r="D18" s="25">
        <v>5.2999999999999999E-2</v>
      </c>
      <c r="E18" s="26">
        <v>123480000</v>
      </c>
      <c r="F18" s="27">
        <f t="shared" si="0"/>
        <v>0.50460000000000005</v>
      </c>
    </row>
    <row r="19" spans="1:7" x14ac:dyDescent="0.3">
      <c r="A19" s="16">
        <v>9</v>
      </c>
      <c r="B19" s="17" t="s">
        <v>386</v>
      </c>
      <c r="C19" s="18" t="s">
        <v>387</v>
      </c>
      <c r="D19" s="19">
        <v>5.04E-2</v>
      </c>
      <c r="E19" s="20">
        <v>125340000</v>
      </c>
      <c r="F19" s="21">
        <f t="shared" si="0"/>
        <v>0.55500000000000005</v>
      </c>
    </row>
    <row r="20" spans="1:7" x14ac:dyDescent="0.3">
      <c r="A20" s="22">
        <v>10</v>
      </c>
      <c r="B20" s="23" t="s">
        <v>388</v>
      </c>
      <c r="C20" s="24" t="s">
        <v>389</v>
      </c>
      <c r="D20" s="25">
        <v>4.8599999999999997E-2</v>
      </c>
      <c r="E20" s="26">
        <v>119280000</v>
      </c>
      <c r="F20" s="27">
        <f t="shared" si="0"/>
        <v>0.60360000000000003</v>
      </c>
    </row>
    <row r="21" spans="1:7" x14ac:dyDescent="0.3">
      <c r="A21" s="16">
        <v>11</v>
      </c>
      <c r="B21" s="17" t="s">
        <v>390</v>
      </c>
      <c r="C21" s="18" t="s">
        <v>391</v>
      </c>
      <c r="D21" s="19">
        <v>4.8300000000000003E-2</v>
      </c>
      <c r="E21" s="20">
        <v>115730000</v>
      </c>
      <c r="F21" s="21">
        <f t="shared" si="0"/>
        <v>0.65190000000000003</v>
      </c>
    </row>
    <row r="22" spans="1:7" x14ac:dyDescent="0.3">
      <c r="A22" s="22">
        <v>12</v>
      </c>
      <c r="B22" s="23" t="s">
        <v>392</v>
      </c>
      <c r="C22" s="24" t="s">
        <v>393</v>
      </c>
      <c r="D22" s="25">
        <v>4.4900000000000002E-2</v>
      </c>
      <c r="E22" s="26">
        <v>111840000</v>
      </c>
      <c r="F22" s="27">
        <f t="shared" si="0"/>
        <v>0.69680000000000009</v>
      </c>
    </row>
    <row r="23" spans="1:7" x14ac:dyDescent="0.3">
      <c r="A23" s="16">
        <v>13</v>
      </c>
      <c r="B23" s="17" t="s">
        <v>394</v>
      </c>
      <c r="C23" s="18" t="s">
        <v>395</v>
      </c>
      <c r="D23" s="19">
        <v>4.1300000000000003E-2</v>
      </c>
      <c r="E23" s="20">
        <v>93530000</v>
      </c>
      <c r="F23" s="21">
        <f t="shared" si="0"/>
        <v>0.73810000000000009</v>
      </c>
    </row>
    <row r="24" spans="1:7" x14ac:dyDescent="0.3">
      <c r="A24" s="22">
        <v>14</v>
      </c>
      <c r="B24" s="23" t="s">
        <v>396</v>
      </c>
      <c r="C24" s="24" t="s">
        <v>397</v>
      </c>
      <c r="D24" s="25">
        <v>2.9399999999999999E-2</v>
      </c>
      <c r="E24" s="26">
        <v>73370000</v>
      </c>
      <c r="F24" s="27">
        <f t="shared" si="0"/>
        <v>0.76750000000000007</v>
      </c>
    </row>
    <row r="25" spans="1:7" x14ac:dyDescent="0.3">
      <c r="A25" s="16">
        <v>15</v>
      </c>
      <c r="B25" s="17" t="s">
        <v>398</v>
      </c>
      <c r="C25" s="18" t="s">
        <v>399</v>
      </c>
      <c r="D25" s="19">
        <v>2.8000000000000001E-2</v>
      </c>
      <c r="E25" s="20">
        <v>69980000</v>
      </c>
      <c r="F25" s="21">
        <f t="shared" si="0"/>
        <v>0.7955000000000001</v>
      </c>
    </row>
    <row r="26" spans="1:7" x14ac:dyDescent="0.3">
      <c r="A26" s="22">
        <v>16</v>
      </c>
      <c r="B26" s="23" t="s">
        <v>400</v>
      </c>
      <c r="C26" s="24" t="s">
        <v>401</v>
      </c>
      <c r="D26" s="25">
        <v>2.63E-2</v>
      </c>
      <c r="E26" s="26">
        <v>69110000</v>
      </c>
      <c r="F26" s="27">
        <f t="shared" si="0"/>
        <v>0.82180000000000009</v>
      </c>
    </row>
    <row r="27" spans="1:7" x14ac:dyDescent="0.3">
      <c r="A27" s="16">
        <v>17</v>
      </c>
      <c r="B27" s="17" t="s">
        <v>402</v>
      </c>
      <c r="C27" s="18" t="s">
        <v>403</v>
      </c>
      <c r="D27" s="19">
        <v>3.2199999999999999E-2</v>
      </c>
      <c r="E27" s="20">
        <v>68830000</v>
      </c>
      <c r="F27" s="21">
        <f t="shared" si="0"/>
        <v>0.85400000000000009</v>
      </c>
    </row>
    <row r="28" spans="1:7" x14ac:dyDescent="0.3">
      <c r="A28" s="22">
        <v>18</v>
      </c>
      <c r="B28" s="23" t="s">
        <v>404</v>
      </c>
      <c r="C28" s="24" t="s">
        <v>405</v>
      </c>
      <c r="D28" s="25">
        <v>2.3400000000000001E-2</v>
      </c>
      <c r="E28" s="26">
        <v>60010000</v>
      </c>
      <c r="F28" s="27">
        <f t="shared" si="0"/>
        <v>0.87740000000000007</v>
      </c>
    </row>
    <row r="29" spans="1:7" x14ac:dyDescent="0.3">
      <c r="B29" s="28" t="s">
        <v>88</v>
      </c>
      <c r="C29" s="29"/>
      <c r="D29" s="30">
        <f>SUM(D11:D28)</f>
        <v>0.87740000000000007</v>
      </c>
      <c r="E29" s="31">
        <f>SUM(E11:E28)</f>
        <v>2129580000</v>
      </c>
    </row>
    <row r="31" spans="1:7" ht="27.75" customHeight="1" x14ac:dyDescent="0.3">
      <c r="A31" s="2" t="s">
        <v>406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1"/>
  <sheetViews>
    <sheetView showGridLines="0" zoomScaleNormal="100" workbookViewId="0">
      <selection activeCell="A4" sqref="A4:G6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407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408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9" spans="1:7" x14ac:dyDescent="0.3">
      <c r="A9" s="4" t="s">
        <v>409</v>
      </c>
      <c r="B9" s="4"/>
      <c r="C9" s="4"/>
      <c r="D9" s="4"/>
      <c r="E9" s="4"/>
      <c r="F9" s="4"/>
      <c r="G9" s="4"/>
    </row>
    <row r="10" spans="1:7" x14ac:dyDescent="0.3">
      <c r="A10" s="15" t="s">
        <v>56</v>
      </c>
      <c r="B10" s="15" t="s">
        <v>57</v>
      </c>
      <c r="C10" s="15" t="s">
        <v>2</v>
      </c>
      <c r="D10" s="15" t="s">
        <v>58</v>
      </c>
      <c r="E10" s="15" t="s">
        <v>59</v>
      </c>
      <c r="F10" s="15" t="s">
        <v>60</v>
      </c>
      <c r="G10" s="15"/>
    </row>
    <row r="11" spans="1:7" x14ac:dyDescent="0.3">
      <c r="A11" s="16">
        <v>1</v>
      </c>
      <c r="B11" s="17" t="s">
        <v>73</v>
      </c>
      <c r="C11" s="18" t="s">
        <v>74</v>
      </c>
      <c r="D11" s="19">
        <v>3.15E-2</v>
      </c>
      <c r="E11" s="20">
        <v>182290000</v>
      </c>
      <c r="F11" s="21">
        <f>D11</f>
        <v>3.15E-2</v>
      </c>
    </row>
    <row r="12" spans="1:7" x14ac:dyDescent="0.3">
      <c r="A12" s="22">
        <v>2</v>
      </c>
      <c r="B12" s="23" t="s">
        <v>101</v>
      </c>
      <c r="C12" s="24" t="s">
        <v>102</v>
      </c>
      <c r="D12" s="25">
        <v>2.5600000000000001E-2</v>
      </c>
      <c r="E12" s="26">
        <v>148230000</v>
      </c>
      <c r="F12" s="27">
        <f t="shared" ref="F12:F28" si="0">F11+D12</f>
        <v>5.7099999999999998E-2</v>
      </c>
    </row>
    <row r="13" spans="1:7" x14ac:dyDescent="0.3">
      <c r="A13" s="16">
        <v>3</v>
      </c>
      <c r="B13" s="17" t="s">
        <v>410</v>
      </c>
      <c r="C13" s="18" t="s">
        <v>411</v>
      </c>
      <c r="D13" s="19">
        <v>2.47E-2</v>
      </c>
      <c r="E13" s="20">
        <v>143100000</v>
      </c>
      <c r="F13" s="21">
        <f t="shared" si="0"/>
        <v>8.1799999999999998E-2</v>
      </c>
    </row>
    <row r="14" spans="1:7" x14ac:dyDescent="0.3">
      <c r="A14" s="22">
        <v>4</v>
      </c>
      <c r="B14" s="23" t="s">
        <v>412</v>
      </c>
      <c r="C14" s="24" t="s">
        <v>413</v>
      </c>
      <c r="D14" s="25">
        <v>2.6200000000000001E-2</v>
      </c>
      <c r="E14" s="26">
        <v>140530000</v>
      </c>
      <c r="F14" s="27">
        <f t="shared" si="0"/>
        <v>0.108</v>
      </c>
    </row>
    <row r="15" spans="1:7" x14ac:dyDescent="0.3">
      <c r="A15" s="16">
        <v>5</v>
      </c>
      <c r="B15" s="17" t="s">
        <v>109</v>
      </c>
      <c r="C15" s="18" t="s">
        <v>110</v>
      </c>
      <c r="D15" s="19">
        <v>2.35E-2</v>
      </c>
      <c r="E15" s="20">
        <v>135940000</v>
      </c>
      <c r="F15" s="21">
        <f t="shared" si="0"/>
        <v>0.13150000000000001</v>
      </c>
    </row>
    <row r="16" spans="1:7" x14ac:dyDescent="0.3">
      <c r="A16" s="22">
        <v>6</v>
      </c>
      <c r="B16" s="23" t="s">
        <v>414</v>
      </c>
      <c r="C16" s="24" t="s">
        <v>415</v>
      </c>
      <c r="D16" s="25">
        <v>2.0400000000000001E-2</v>
      </c>
      <c r="E16" s="26">
        <v>117890000</v>
      </c>
      <c r="F16" s="27">
        <f t="shared" si="0"/>
        <v>0.15190000000000001</v>
      </c>
    </row>
    <row r="17" spans="1:7" x14ac:dyDescent="0.3">
      <c r="A17" s="16">
        <v>7</v>
      </c>
      <c r="B17" s="17" t="s">
        <v>416</v>
      </c>
      <c r="C17" s="18" t="s">
        <v>417</v>
      </c>
      <c r="D17" s="19">
        <v>1.9800000000000002E-2</v>
      </c>
      <c r="E17" s="20">
        <v>114380000</v>
      </c>
      <c r="F17" s="21">
        <f t="shared" si="0"/>
        <v>0.17170000000000002</v>
      </c>
    </row>
    <row r="18" spans="1:7" x14ac:dyDescent="0.3">
      <c r="A18" s="22">
        <v>8</v>
      </c>
      <c r="B18" s="23" t="s">
        <v>113</v>
      </c>
      <c r="C18" s="24" t="s">
        <v>114</v>
      </c>
      <c r="D18" s="25">
        <v>1.9E-2</v>
      </c>
      <c r="E18" s="26">
        <v>110240000</v>
      </c>
      <c r="F18" s="27">
        <f t="shared" si="0"/>
        <v>0.19070000000000001</v>
      </c>
    </row>
    <row r="19" spans="1:7" x14ac:dyDescent="0.3">
      <c r="A19" s="16">
        <v>9</v>
      </c>
      <c r="B19" s="17" t="s">
        <v>418</v>
      </c>
      <c r="C19" s="18" t="s">
        <v>419</v>
      </c>
      <c r="D19" s="19">
        <v>1.8800000000000001E-2</v>
      </c>
      <c r="E19" s="20">
        <v>109070000</v>
      </c>
      <c r="F19" s="21">
        <f t="shared" si="0"/>
        <v>0.20950000000000002</v>
      </c>
    </row>
    <row r="20" spans="1:7" x14ac:dyDescent="0.3">
      <c r="A20" s="22">
        <v>10</v>
      </c>
      <c r="B20" s="23" t="s">
        <v>420</v>
      </c>
      <c r="C20" s="24" t="s">
        <v>421</v>
      </c>
      <c r="D20" s="25">
        <v>1.8200000000000001E-2</v>
      </c>
      <c r="E20" s="26">
        <v>107610000</v>
      </c>
      <c r="F20" s="27">
        <f t="shared" si="0"/>
        <v>0.22770000000000001</v>
      </c>
    </row>
    <row r="21" spans="1:7" x14ac:dyDescent="0.3">
      <c r="A21" s="16">
        <v>11</v>
      </c>
      <c r="B21" s="17" t="s">
        <v>422</v>
      </c>
      <c r="C21" s="18" t="s">
        <v>423</v>
      </c>
      <c r="D21" s="19">
        <v>1.8499999999999999E-2</v>
      </c>
      <c r="E21" s="20">
        <v>106820000</v>
      </c>
      <c r="F21" s="21">
        <f t="shared" si="0"/>
        <v>0.2462</v>
      </c>
    </row>
    <row r="22" spans="1:7" x14ac:dyDescent="0.3">
      <c r="A22" s="22">
        <v>12</v>
      </c>
      <c r="B22" s="23" t="s">
        <v>210</v>
      </c>
      <c r="C22" s="24" t="s">
        <v>211</v>
      </c>
      <c r="D22" s="25">
        <v>1.7299999999999999E-2</v>
      </c>
      <c r="E22" s="26">
        <v>99870000</v>
      </c>
      <c r="F22" s="27">
        <f t="shared" si="0"/>
        <v>0.26350000000000001</v>
      </c>
    </row>
    <row r="23" spans="1:7" x14ac:dyDescent="0.3">
      <c r="A23" s="16">
        <v>13</v>
      </c>
      <c r="B23" s="17" t="s">
        <v>249</v>
      </c>
      <c r="C23" s="18" t="s">
        <v>250</v>
      </c>
      <c r="D23" s="19">
        <v>1.7000000000000001E-2</v>
      </c>
      <c r="E23" s="20">
        <v>98200000</v>
      </c>
      <c r="F23" s="21">
        <f t="shared" si="0"/>
        <v>0.28050000000000003</v>
      </c>
    </row>
    <row r="24" spans="1:7" x14ac:dyDescent="0.3">
      <c r="A24" s="22">
        <v>14</v>
      </c>
      <c r="B24" s="23" t="s">
        <v>424</v>
      </c>
      <c r="C24" s="24" t="s">
        <v>425</v>
      </c>
      <c r="D24" s="25">
        <v>1.7000000000000001E-2</v>
      </c>
      <c r="E24" s="26">
        <v>98160000</v>
      </c>
      <c r="F24" s="27">
        <f t="shared" si="0"/>
        <v>0.29750000000000004</v>
      </c>
    </row>
    <row r="25" spans="1:7" x14ac:dyDescent="0.3">
      <c r="A25" s="16">
        <v>15</v>
      </c>
      <c r="B25" s="17" t="s">
        <v>218</v>
      </c>
      <c r="C25" s="18" t="s">
        <v>219</v>
      </c>
      <c r="D25" s="19">
        <v>1.6899999999999998E-2</v>
      </c>
      <c r="E25" s="20">
        <v>98060000</v>
      </c>
      <c r="F25" s="21">
        <f t="shared" si="0"/>
        <v>0.31440000000000001</v>
      </c>
    </row>
    <row r="26" spans="1:7" x14ac:dyDescent="0.3">
      <c r="A26" s="22">
        <v>16</v>
      </c>
      <c r="B26" s="23" t="s">
        <v>426</v>
      </c>
      <c r="C26" s="24" t="s">
        <v>427</v>
      </c>
      <c r="D26" s="25">
        <v>1.7299999999999999E-2</v>
      </c>
      <c r="E26" s="26">
        <v>97860000</v>
      </c>
      <c r="F26" s="27">
        <f t="shared" si="0"/>
        <v>0.33169999999999999</v>
      </c>
    </row>
    <row r="27" spans="1:7" x14ac:dyDescent="0.3">
      <c r="A27" s="16">
        <v>17</v>
      </c>
      <c r="B27" s="17" t="s">
        <v>428</v>
      </c>
      <c r="C27" s="18" t="s">
        <v>429</v>
      </c>
      <c r="D27" s="19">
        <v>1.7399999999999999E-2</v>
      </c>
      <c r="E27" s="20">
        <v>96330000</v>
      </c>
      <c r="F27" s="21">
        <f t="shared" si="0"/>
        <v>0.34909999999999997</v>
      </c>
    </row>
    <row r="28" spans="1:7" x14ac:dyDescent="0.3">
      <c r="A28" s="22">
        <v>18</v>
      </c>
      <c r="B28" s="23" t="s">
        <v>212</v>
      </c>
      <c r="C28" s="24" t="s">
        <v>213</v>
      </c>
      <c r="D28" s="25">
        <v>1.61E-2</v>
      </c>
      <c r="E28" s="26">
        <v>93180000</v>
      </c>
      <c r="F28" s="27">
        <f t="shared" si="0"/>
        <v>0.36519999999999997</v>
      </c>
    </row>
    <row r="29" spans="1:7" x14ac:dyDescent="0.3">
      <c r="B29" s="28" t="s">
        <v>88</v>
      </c>
      <c r="C29" s="29"/>
      <c r="D29" s="30">
        <f>SUM(D11:D28)</f>
        <v>0.36519999999999997</v>
      </c>
      <c r="E29" s="31">
        <f>SUM(E11:E28)</f>
        <v>2097760000</v>
      </c>
    </row>
    <row r="31" spans="1:7" ht="27.75" customHeight="1" x14ac:dyDescent="0.3">
      <c r="A31" s="2" t="s">
        <v>430</v>
      </c>
      <c r="B31" s="2"/>
      <c r="C31" s="2"/>
      <c r="D31" s="2"/>
      <c r="E31" s="2"/>
      <c r="F31" s="2"/>
      <c r="G31" s="2"/>
    </row>
  </sheetData>
  <mergeCells count="5">
    <mergeCell ref="A9:G9"/>
    <mergeCell ref="A31:G31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2"/>
  <sheetViews>
    <sheetView showGridLines="0" zoomScaleNormal="100" workbookViewId="0">
      <selection activeCell="A7" sqref="A7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431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432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10" spans="1:7" x14ac:dyDescent="0.3">
      <c r="A10" s="4" t="s">
        <v>433</v>
      </c>
      <c r="B10" s="4"/>
      <c r="C10" s="4"/>
      <c r="D10" s="4"/>
      <c r="E10" s="4"/>
      <c r="F10" s="4"/>
      <c r="G10" s="4"/>
    </row>
    <row r="11" spans="1:7" x14ac:dyDescent="0.3">
      <c r="A11" s="15" t="s">
        <v>56</v>
      </c>
      <c r="B11" s="15" t="s">
        <v>57</v>
      </c>
      <c r="C11" s="15" t="s">
        <v>2</v>
      </c>
      <c r="D11" s="15" t="s">
        <v>58</v>
      </c>
      <c r="E11" s="15" t="s">
        <v>59</v>
      </c>
      <c r="F11" s="15" t="s">
        <v>60</v>
      </c>
      <c r="G11" s="15"/>
    </row>
    <row r="12" spans="1:7" x14ac:dyDescent="0.3">
      <c r="A12" s="16">
        <v>1</v>
      </c>
      <c r="B12" s="17" t="s">
        <v>402</v>
      </c>
      <c r="C12" s="18" t="s">
        <v>403</v>
      </c>
      <c r="D12" s="19">
        <v>0.13719999999999999</v>
      </c>
      <c r="E12" s="20">
        <v>22390000</v>
      </c>
      <c r="F12" s="21">
        <f>D12</f>
        <v>0.13719999999999999</v>
      </c>
    </row>
    <row r="13" spans="1:7" x14ac:dyDescent="0.3">
      <c r="A13" s="22">
        <v>2</v>
      </c>
      <c r="B13" s="23" t="s">
        <v>434</v>
      </c>
      <c r="C13" s="24" t="s">
        <v>435</v>
      </c>
      <c r="D13" s="25">
        <v>0.1072</v>
      </c>
      <c r="E13" s="26">
        <v>17510000</v>
      </c>
      <c r="F13" s="27">
        <f t="shared" ref="F13:F29" si="0">F12+D13</f>
        <v>0.24440000000000001</v>
      </c>
    </row>
    <row r="14" spans="1:7" x14ac:dyDescent="0.3">
      <c r="A14" s="16">
        <v>3</v>
      </c>
      <c r="B14" s="17" t="s">
        <v>436</v>
      </c>
      <c r="C14" s="18" t="s">
        <v>437</v>
      </c>
      <c r="D14" s="19">
        <v>7.17E-2</v>
      </c>
      <c r="E14" s="20">
        <v>11700000</v>
      </c>
      <c r="F14" s="21">
        <f t="shared" si="0"/>
        <v>0.31609999999999999</v>
      </c>
    </row>
    <row r="15" spans="1:7" x14ac:dyDescent="0.3">
      <c r="A15" s="22">
        <v>4</v>
      </c>
      <c r="B15" s="23" t="s">
        <v>382</v>
      </c>
      <c r="C15" s="24" t="s">
        <v>383</v>
      </c>
      <c r="D15" s="25">
        <v>6.8900000000000003E-2</v>
      </c>
      <c r="E15" s="26">
        <v>11250000</v>
      </c>
      <c r="F15" s="27">
        <f t="shared" si="0"/>
        <v>0.38500000000000001</v>
      </c>
    </row>
    <row r="16" spans="1:7" x14ac:dyDescent="0.3">
      <c r="A16" s="16">
        <v>5</v>
      </c>
      <c r="B16" s="17" t="s">
        <v>438</v>
      </c>
      <c r="C16" s="18" t="s">
        <v>439</v>
      </c>
      <c r="D16" s="19">
        <v>5.2499999999999998E-2</v>
      </c>
      <c r="E16" s="20">
        <v>8570000</v>
      </c>
      <c r="F16" s="21">
        <f t="shared" si="0"/>
        <v>0.4375</v>
      </c>
    </row>
    <row r="17" spans="1:7" x14ac:dyDescent="0.3">
      <c r="A17" s="22">
        <v>6</v>
      </c>
      <c r="B17" s="23" t="s">
        <v>370</v>
      </c>
      <c r="C17" s="24" t="s">
        <v>371</v>
      </c>
      <c r="D17" s="25">
        <v>5.1499999999999997E-2</v>
      </c>
      <c r="E17" s="26">
        <v>8400000</v>
      </c>
      <c r="F17" s="27">
        <f t="shared" si="0"/>
        <v>0.48899999999999999</v>
      </c>
    </row>
    <row r="18" spans="1:7" x14ac:dyDescent="0.3">
      <c r="A18" s="16">
        <v>7</v>
      </c>
      <c r="B18" s="17" t="s">
        <v>440</v>
      </c>
      <c r="C18" s="18" t="s">
        <v>441</v>
      </c>
      <c r="D18" s="19">
        <v>4.8300000000000003E-2</v>
      </c>
      <c r="E18" s="20">
        <v>7880000</v>
      </c>
      <c r="F18" s="21">
        <f t="shared" si="0"/>
        <v>0.5373</v>
      </c>
    </row>
    <row r="19" spans="1:7" x14ac:dyDescent="0.3">
      <c r="A19" s="22">
        <v>8</v>
      </c>
      <c r="B19" s="23" t="s">
        <v>442</v>
      </c>
      <c r="C19" s="24" t="s">
        <v>443</v>
      </c>
      <c r="D19" s="25">
        <v>4.1700000000000001E-2</v>
      </c>
      <c r="E19" s="26">
        <v>6810000</v>
      </c>
      <c r="F19" s="27">
        <f t="shared" si="0"/>
        <v>0.57899999999999996</v>
      </c>
    </row>
    <row r="20" spans="1:7" x14ac:dyDescent="0.3">
      <c r="A20" s="16">
        <v>9</v>
      </c>
      <c r="B20" s="17" t="s">
        <v>376</v>
      </c>
      <c r="C20" s="18" t="s">
        <v>377</v>
      </c>
      <c r="D20" s="19">
        <v>3.9E-2</v>
      </c>
      <c r="E20" s="20">
        <v>6370000</v>
      </c>
      <c r="F20" s="21">
        <f t="shared" si="0"/>
        <v>0.61799999999999999</v>
      </c>
    </row>
    <row r="21" spans="1:7" x14ac:dyDescent="0.3">
      <c r="A21" s="22">
        <v>10</v>
      </c>
      <c r="B21" s="23" t="s">
        <v>444</v>
      </c>
      <c r="C21" s="24" t="s">
        <v>445</v>
      </c>
      <c r="D21" s="25">
        <v>3.1300000000000001E-2</v>
      </c>
      <c r="E21" s="26">
        <v>5110000</v>
      </c>
      <c r="F21" s="27">
        <f t="shared" si="0"/>
        <v>0.64929999999999999</v>
      </c>
    </row>
    <row r="22" spans="1:7" x14ac:dyDescent="0.3">
      <c r="A22" s="16">
        <v>11</v>
      </c>
      <c r="B22" s="17" t="s">
        <v>446</v>
      </c>
      <c r="C22" s="18" t="s">
        <v>447</v>
      </c>
      <c r="D22" s="19">
        <v>2.98E-2</v>
      </c>
      <c r="E22" s="20">
        <v>4860000</v>
      </c>
      <c r="F22" s="21">
        <f t="shared" si="0"/>
        <v>0.67910000000000004</v>
      </c>
    </row>
    <row r="23" spans="1:7" x14ac:dyDescent="0.3">
      <c r="A23" s="22">
        <v>12</v>
      </c>
      <c r="B23" s="23" t="s">
        <v>448</v>
      </c>
      <c r="C23" s="24" t="s">
        <v>449</v>
      </c>
      <c r="D23" s="25">
        <v>2.75E-2</v>
      </c>
      <c r="E23" s="26">
        <v>4490000</v>
      </c>
      <c r="F23" s="27">
        <f t="shared" si="0"/>
        <v>0.70660000000000001</v>
      </c>
    </row>
    <row r="24" spans="1:7" x14ac:dyDescent="0.3">
      <c r="A24" s="16">
        <v>13</v>
      </c>
      <c r="B24" s="17" t="s">
        <v>450</v>
      </c>
      <c r="C24" s="18" t="s">
        <v>451</v>
      </c>
      <c r="D24" s="19">
        <v>2.4400000000000002E-2</v>
      </c>
      <c r="E24" s="20">
        <v>3990000</v>
      </c>
      <c r="F24" s="21">
        <f t="shared" si="0"/>
        <v>0.73099999999999998</v>
      </c>
    </row>
    <row r="25" spans="1:7" x14ac:dyDescent="0.3">
      <c r="A25" s="22">
        <v>14</v>
      </c>
      <c r="B25" s="23" t="s">
        <v>374</v>
      </c>
      <c r="C25" s="24" t="s">
        <v>375</v>
      </c>
      <c r="D25" s="25">
        <v>2.2100000000000002E-2</v>
      </c>
      <c r="E25" s="26">
        <v>3610000</v>
      </c>
      <c r="F25" s="27">
        <f t="shared" si="0"/>
        <v>0.75309999999999999</v>
      </c>
    </row>
    <row r="26" spans="1:7" x14ac:dyDescent="0.3">
      <c r="A26" s="16">
        <v>15</v>
      </c>
      <c r="B26" s="17" t="s">
        <v>452</v>
      </c>
      <c r="C26" s="18" t="s">
        <v>453</v>
      </c>
      <c r="D26" s="19">
        <v>2.06E-2</v>
      </c>
      <c r="E26" s="20">
        <v>3110000</v>
      </c>
      <c r="F26" s="21">
        <f t="shared" si="0"/>
        <v>0.77369999999999994</v>
      </c>
    </row>
    <row r="27" spans="1:7" x14ac:dyDescent="0.3">
      <c r="A27" s="22">
        <v>16</v>
      </c>
      <c r="B27" s="23" t="s">
        <v>390</v>
      </c>
      <c r="C27" s="24" t="s">
        <v>391</v>
      </c>
      <c r="D27" s="25">
        <v>1.8800000000000001E-2</v>
      </c>
      <c r="E27" s="26">
        <v>3070000</v>
      </c>
      <c r="F27" s="27">
        <f t="shared" si="0"/>
        <v>0.79249999999999998</v>
      </c>
    </row>
    <row r="28" spans="1:7" x14ac:dyDescent="0.3">
      <c r="A28" s="16">
        <v>17</v>
      </c>
      <c r="B28" s="17" t="s">
        <v>454</v>
      </c>
      <c r="C28" s="18" t="s">
        <v>455</v>
      </c>
      <c r="D28" s="19">
        <v>1.4999999999999999E-2</v>
      </c>
      <c r="E28" s="20">
        <v>2450000</v>
      </c>
      <c r="F28" s="21">
        <f t="shared" si="0"/>
        <v>0.8075</v>
      </c>
    </row>
    <row r="29" spans="1:7" x14ac:dyDescent="0.3">
      <c r="A29" s="22">
        <v>18</v>
      </c>
      <c r="B29" s="23" t="s">
        <v>456</v>
      </c>
      <c r="C29" s="24" t="s">
        <v>457</v>
      </c>
      <c r="D29" s="25">
        <v>1.38E-2</v>
      </c>
      <c r="E29" s="26">
        <v>2260000</v>
      </c>
      <c r="F29" s="27">
        <f t="shared" si="0"/>
        <v>0.82130000000000003</v>
      </c>
    </row>
    <row r="30" spans="1:7" x14ac:dyDescent="0.3">
      <c r="B30" s="28" t="s">
        <v>88</v>
      </c>
      <c r="C30" s="29"/>
      <c r="D30" s="30">
        <f>SUM(D12:D29)</f>
        <v>0.82130000000000003</v>
      </c>
      <c r="E30" s="31">
        <f>SUM(E12:E29)</f>
        <v>133830000</v>
      </c>
    </row>
    <row r="32" spans="1:7" ht="27.75" customHeight="1" x14ac:dyDescent="0.3">
      <c r="A32" s="2" t="s">
        <v>458</v>
      </c>
      <c r="B32" s="2"/>
      <c r="C32" s="2"/>
      <c r="D32" s="2"/>
      <c r="E32" s="2"/>
      <c r="F32" s="2"/>
      <c r="G32" s="2"/>
    </row>
  </sheetData>
  <mergeCells count="5">
    <mergeCell ref="A10:G10"/>
    <mergeCell ref="A32:G32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2"/>
  <sheetViews>
    <sheetView showGridLines="0" zoomScaleNormal="100" workbookViewId="0">
      <selection activeCell="A8" sqref="A8:XFD22"/>
    </sheetView>
  </sheetViews>
  <sheetFormatPr defaultColWidth="8.6640625" defaultRowHeight="14.4" x14ac:dyDescent="0.3"/>
  <cols>
    <col min="1" max="1" width="4" customWidth="1"/>
    <col min="2" max="2" width="42" customWidth="1"/>
    <col min="3" max="3" width="13" customWidth="1"/>
    <col min="4" max="4" width="11" customWidth="1"/>
    <col min="5" max="5" width="16" customWidth="1"/>
    <col min="6" max="6" width="9" customWidth="1"/>
    <col min="7" max="7" width="2" customWidth="1"/>
  </cols>
  <sheetData>
    <row r="1" spans="1:7" ht="25.5" customHeight="1" x14ac:dyDescent="0.3">
      <c r="A1" s="5" t="s">
        <v>459</v>
      </c>
      <c r="B1" s="5"/>
      <c r="C1" s="5"/>
      <c r="D1" s="5"/>
      <c r="E1" s="5"/>
      <c r="F1" s="5"/>
      <c r="G1" s="5"/>
    </row>
    <row r="3" spans="1:7" x14ac:dyDescent="0.3">
      <c r="A3" s="4" t="s">
        <v>53</v>
      </c>
      <c r="B3" s="4"/>
      <c r="C3" s="4"/>
      <c r="D3" s="4"/>
      <c r="E3" s="4"/>
      <c r="F3" s="4"/>
      <c r="G3" s="4"/>
    </row>
    <row r="4" spans="1:7" ht="15" customHeight="1" x14ac:dyDescent="0.3">
      <c r="A4" s="3" t="s">
        <v>460</v>
      </c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10" spans="1:7" x14ac:dyDescent="0.3">
      <c r="A10" s="4" t="s">
        <v>92</v>
      </c>
      <c r="B10" s="4"/>
      <c r="C10" s="4"/>
      <c r="D10" s="4"/>
      <c r="E10" s="4"/>
      <c r="F10" s="4"/>
      <c r="G10" s="4"/>
    </row>
    <row r="11" spans="1:7" x14ac:dyDescent="0.3">
      <c r="A11" s="15" t="s">
        <v>56</v>
      </c>
      <c r="B11" s="15" t="s">
        <v>57</v>
      </c>
      <c r="C11" s="15" t="s">
        <v>2</v>
      </c>
      <c r="D11" s="15" t="s">
        <v>58</v>
      </c>
      <c r="E11" s="15" t="s">
        <v>59</v>
      </c>
      <c r="F11" s="15" t="s">
        <v>60</v>
      </c>
      <c r="G11" s="15"/>
    </row>
    <row r="12" spans="1:7" x14ac:dyDescent="0.3">
      <c r="A12" s="16">
        <v>1</v>
      </c>
      <c r="B12" s="17" t="s">
        <v>461</v>
      </c>
      <c r="C12" s="18" t="s">
        <v>462</v>
      </c>
      <c r="D12" s="19">
        <v>8.2600000000000007E-2</v>
      </c>
      <c r="E12" s="20">
        <v>221070000</v>
      </c>
      <c r="F12" s="21">
        <f>D12</f>
        <v>8.2600000000000007E-2</v>
      </c>
    </row>
    <row r="13" spans="1:7" x14ac:dyDescent="0.3">
      <c r="A13" s="22">
        <v>2</v>
      </c>
      <c r="B13" s="23" t="s">
        <v>463</v>
      </c>
      <c r="C13" s="24" t="s">
        <v>464</v>
      </c>
      <c r="D13" s="25">
        <v>7.8899999999999998E-2</v>
      </c>
      <c r="E13" s="26">
        <v>215640000</v>
      </c>
      <c r="F13" s="27">
        <f t="shared" ref="F13:F29" si="0">F12+D13</f>
        <v>0.1615</v>
      </c>
    </row>
    <row r="14" spans="1:7" x14ac:dyDescent="0.3">
      <c r="A14" s="16">
        <v>3</v>
      </c>
      <c r="B14" s="17" t="s">
        <v>465</v>
      </c>
      <c r="C14" s="18" t="s">
        <v>466</v>
      </c>
      <c r="D14" s="19">
        <v>7.0699999999999999E-2</v>
      </c>
      <c r="E14" s="20">
        <v>191030000</v>
      </c>
      <c r="F14" s="21">
        <f t="shared" si="0"/>
        <v>0.23220000000000002</v>
      </c>
    </row>
    <row r="15" spans="1:7" x14ac:dyDescent="0.3">
      <c r="A15" s="22">
        <v>4</v>
      </c>
      <c r="B15" s="23" t="s">
        <v>467</v>
      </c>
      <c r="C15" s="24" t="s">
        <v>468</v>
      </c>
      <c r="D15" s="25">
        <v>7.1300000000000002E-2</v>
      </c>
      <c r="E15" s="26">
        <v>190050000</v>
      </c>
      <c r="F15" s="27">
        <f t="shared" si="0"/>
        <v>0.30349999999999999</v>
      </c>
    </row>
    <row r="16" spans="1:7" x14ac:dyDescent="0.3">
      <c r="A16" s="16">
        <v>5</v>
      </c>
      <c r="B16" s="17" t="s">
        <v>469</v>
      </c>
      <c r="C16" s="18" t="s">
        <v>470</v>
      </c>
      <c r="D16" s="19">
        <v>5.6800000000000003E-2</v>
      </c>
      <c r="E16" s="20">
        <v>155120000</v>
      </c>
      <c r="F16" s="21">
        <f t="shared" si="0"/>
        <v>0.36030000000000001</v>
      </c>
    </row>
    <row r="17" spans="1:7" x14ac:dyDescent="0.3">
      <c r="A17" s="22">
        <v>6</v>
      </c>
      <c r="B17" s="23" t="s">
        <v>471</v>
      </c>
      <c r="C17" s="24" t="s">
        <v>472</v>
      </c>
      <c r="D17" s="25">
        <v>6.08E-2</v>
      </c>
      <c r="E17" s="26">
        <v>152820000</v>
      </c>
      <c r="F17" s="27">
        <f t="shared" si="0"/>
        <v>0.42110000000000003</v>
      </c>
    </row>
    <row r="18" spans="1:7" x14ac:dyDescent="0.3">
      <c r="A18" s="16">
        <v>7</v>
      </c>
      <c r="B18" s="17" t="s">
        <v>473</v>
      </c>
      <c r="C18" s="18" t="s">
        <v>474</v>
      </c>
      <c r="D18" s="19">
        <v>5.5800000000000002E-2</v>
      </c>
      <c r="E18" s="20">
        <v>151270000</v>
      </c>
      <c r="F18" s="21">
        <f t="shared" si="0"/>
        <v>0.47690000000000005</v>
      </c>
    </row>
    <row r="19" spans="1:7" x14ac:dyDescent="0.3">
      <c r="A19" s="22">
        <v>8</v>
      </c>
      <c r="B19" s="23" t="s">
        <v>475</v>
      </c>
      <c r="C19" s="24" t="s">
        <v>476</v>
      </c>
      <c r="D19" s="25">
        <v>5.2699999999999997E-2</v>
      </c>
      <c r="E19" s="26">
        <v>144040000</v>
      </c>
      <c r="F19" s="27">
        <f t="shared" si="0"/>
        <v>0.52960000000000007</v>
      </c>
    </row>
    <row r="20" spans="1:7" x14ac:dyDescent="0.3">
      <c r="A20" s="16">
        <v>9</v>
      </c>
      <c r="B20" s="17" t="s">
        <v>477</v>
      </c>
      <c r="C20" s="18" t="s">
        <v>478</v>
      </c>
      <c r="D20" s="19">
        <v>4.48E-2</v>
      </c>
      <c r="E20" s="20">
        <v>117920000</v>
      </c>
      <c r="F20" s="21">
        <f t="shared" si="0"/>
        <v>0.57440000000000002</v>
      </c>
    </row>
    <row r="21" spans="1:7" x14ac:dyDescent="0.3">
      <c r="A21" s="22">
        <v>10</v>
      </c>
      <c r="B21" s="23" t="s">
        <v>479</v>
      </c>
      <c r="C21" s="24" t="s">
        <v>480</v>
      </c>
      <c r="D21" s="25">
        <v>4.2200000000000001E-2</v>
      </c>
      <c r="E21" s="26">
        <v>117510000</v>
      </c>
      <c r="F21" s="27">
        <f t="shared" si="0"/>
        <v>0.61660000000000004</v>
      </c>
    </row>
    <row r="22" spans="1:7" x14ac:dyDescent="0.3">
      <c r="A22" s="16">
        <v>11</v>
      </c>
      <c r="B22" s="17" t="s">
        <v>481</v>
      </c>
      <c r="C22" s="18" t="s">
        <v>482</v>
      </c>
      <c r="D22" s="19">
        <v>4.3999999999999997E-2</v>
      </c>
      <c r="E22" s="20">
        <v>116790000</v>
      </c>
      <c r="F22" s="21">
        <f t="shared" si="0"/>
        <v>0.66060000000000008</v>
      </c>
    </row>
    <row r="23" spans="1:7" x14ac:dyDescent="0.3">
      <c r="A23" s="22">
        <v>12</v>
      </c>
      <c r="B23" s="23" t="s">
        <v>483</v>
      </c>
      <c r="C23" s="24" t="s">
        <v>484</v>
      </c>
      <c r="D23" s="25">
        <v>3.6700000000000003E-2</v>
      </c>
      <c r="E23" s="26">
        <v>95860000</v>
      </c>
      <c r="F23" s="27">
        <f t="shared" si="0"/>
        <v>0.69730000000000003</v>
      </c>
    </row>
    <row r="24" spans="1:7" x14ac:dyDescent="0.3">
      <c r="A24" s="16">
        <v>13</v>
      </c>
      <c r="B24" s="17" t="s">
        <v>485</v>
      </c>
      <c r="C24" s="18" t="s">
        <v>486</v>
      </c>
      <c r="D24" s="19">
        <v>3.5000000000000003E-2</v>
      </c>
      <c r="E24" s="20">
        <v>95520000</v>
      </c>
      <c r="F24" s="21">
        <f t="shared" si="0"/>
        <v>0.73230000000000006</v>
      </c>
    </row>
    <row r="25" spans="1:7" x14ac:dyDescent="0.3">
      <c r="A25" s="22">
        <v>14</v>
      </c>
      <c r="B25" s="23" t="s">
        <v>487</v>
      </c>
      <c r="C25" s="24" t="s">
        <v>488</v>
      </c>
      <c r="D25" s="25">
        <v>2.9000000000000001E-2</v>
      </c>
      <c r="E25" s="26">
        <v>79840000</v>
      </c>
      <c r="F25" s="27">
        <f t="shared" si="0"/>
        <v>0.76130000000000009</v>
      </c>
    </row>
    <row r="26" spans="1:7" x14ac:dyDescent="0.3">
      <c r="A26" s="16">
        <v>15</v>
      </c>
      <c r="B26" s="17" t="s">
        <v>489</v>
      </c>
      <c r="C26" s="18" t="s">
        <v>490</v>
      </c>
      <c r="D26" s="19">
        <v>2.92E-2</v>
      </c>
      <c r="E26" s="20">
        <v>79040000</v>
      </c>
      <c r="F26" s="21">
        <f t="shared" si="0"/>
        <v>0.79050000000000009</v>
      </c>
    </row>
    <row r="27" spans="1:7" x14ac:dyDescent="0.3">
      <c r="A27" s="22">
        <v>16</v>
      </c>
      <c r="B27" s="23" t="s">
        <v>491</v>
      </c>
      <c r="C27" s="24" t="s">
        <v>492</v>
      </c>
      <c r="D27" s="25">
        <v>2.5000000000000001E-2</v>
      </c>
      <c r="E27" s="26">
        <v>67370000</v>
      </c>
      <c r="F27" s="27">
        <f t="shared" si="0"/>
        <v>0.81550000000000011</v>
      </c>
    </row>
    <row r="28" spans="1:7" x14ac:dyDescent="0.3">
      <c r="A28" s="16">
        <v>17</v>
      </c>
      <c r="B28" s="17" t="s">
        <v>493</v>
      </c>
      <c r="C28" s="18" t="s">
        <v>494</v>
      </c>
      <c r="D28" s="19">
        <v>2.4299999999999999E-2</v>
      </c>
      <c r="E28" s="20">
        <v>66240000</v>
      </c>
      <c r="F28" s="21">
        <f t="shared" si="0"/>
        <v>0.8398000000000001</v>
      </c>
    </row>
    <row r="29" spans="1:7" x14ac:dyDescent="0.3">
      <c r="A29" s="22">
        <v>18</v>
      </c>
      <c r="B29" s="23" t="s">
        <v>495</v>
      </c>
      <c r="C29" s="24" t="s">
        <v>496</v>
      </c>
      <c r="D29" s="25">
        <v>2.0899999999999998E-2</v>
      </c>
      <c r="E29" s="26">
        <v>56760000</v>
      </c>
      <c r="F29" s="27">
        <f t="shared" si="0"/>
        <v>0.86070000000000013</v>
      </c>
    </row>
    <row r="30" spans="1:7" x14ac:dyDescent="0.3">
      <c r="B30" s="28" t="s">
        <v>88</v>
      </c>
      <c r="C30" s="29"/>
      <c r="D30" s="30">
        <f>SUM(D12:D29)</f>
        <v>0.86070000000000013</v>
      </c>
      <c r="E30" s="31">
        <f>SUM(E12:E29)</f>
        <v>2313890000</v>
      </c>
    </row>
    <row r="32" spans="1:7" ht="27.75" customHeight="1" x14ac:dyDescent="0.3">
      <c r="A32" s="2" t="s">
        <v>497</v>
      </c>
      <c r="B32" s="2"/>
      <c r="C32" s="2"/>
      <c r="D32" s="2"/>
      <c r="E32" s="2"/>
      <c r="F32" s="2"/>
      <c r="G32" s="2"/>
    </row>
  </sheetData>
  <mergeCells count="5">
    <mergeCell ref="A10:G10"/>
    <mergeCell ref="A32:G32"/>
    <mergeCell ref="A1:G1"/>
    <mergeCell ref="A3:G3"/>
    <mergeCell ref="A4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9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W15" sqref="W15"/>
    </sheetView>
  </sheetViews>
  <sheetFormatPr defaultColWidth="8.6640625" defaultRowHeight="14.4" x14ac:dyDescent="0.3"/>
  <cols>
    <col min="1" max="1" width="13" customWidth="1"/>
    <col min="2" max="2" width="40" customWidth="1"/>
    <col min="3" max="16" width="9" customWidth="1"/>
  </cols>
  <sheetData>
    <row r="1" spans="1:16" ht="21" x14ac:dyDescent="0.4">
      <c r="A1" s="32" t="s">
        <v>498</v>
      </c>
    </row>
    <row r="2" spans="1:16" x14ac:dyDescent="0.3">
      <c r="A2" s="7" t="s">
        <v>499</v>
      </c>
    </row>
    <row r="4" spans="1:16" x14ac:dyDescent="0.3">
      <c r="A4" s="15" t="s">
        <v>2</v>
      </c>
      <c r="B4" s="15" t="s">
        <v>57</v>
      </c>
      <c r="C4" s="15" t="s">
        <v>500</v>
      </c>
      <c r="D4" s="33" t="s">
        <v>9</v>
      </c>
      <c r="E4" s="33" t="s">
        <v>15</v>
      </c>
      <c r="F4" s="33" t="s">
        <v>19</v>
      </c>
      <c r="G4" s="33" t="s">
        <v>22</v>
      </c>
      <c r="H4" s="33" t="s">
        <v>26</v>
      </c>
      <c r="I4" s="33" t="s">
        <v>29</v>
      </c>
      <c r="J4" s="33" t="s">
        <v>32</v>
      </c>
      <c r="K4" s="33" t="s">
        <v>36</v>
      </c>
      <c r="L4" s="33" t="s">
        <v>38</v>
      </c>
      <c r="M4" s="33" t="s">
        <v>41</v>
      </c>
      <c r="N4" s="33" t="s">
        <v>45</v>
      </c>
      <c r="O4" s="33" t="s">
        <v>48</v>
      </c>
      <c r="P4" s="33" t="s">
        <v>50</v>
      </c>
    </row>
    <row r="5" spans="1:16" x14ac:dyDescent="0.3">
      <c r="A5" s="34" t="s">
        <v>219</v>
      </c>
      <c r="B5" s="35" t="s">
        <v>218</v>
      </c>
      <c r="C5" s="36">
        <v>3</v>
      </c>
      <c r="D5" s="37"/>
      <c r="E5" s="37"/>
      <c r="F5" s="37"/>
      <c r="G5" s="37"/>
      <c r="H5" s="38">
        <v>3.6900000000000002E-2</v>
      </c>
      <c r="I5" s="38">
        <v>0.1065</v>
      </c>
      <c r="J5" s="37"/>
      <c r="K5" s="37"/>
      <c r="L5" s="37"/>
      <c r="M5" s="37"/>
      <c r="N5" s="38">
        <v>1.6899999999999998E-2</v>
      </c>
      <c r="O5" s="37"/>
      <c r="P5" s="37"/>
    </row>
    <row r="6" spans="1:16" x14ac:dyDescent="0.3">
      <c r="A6" s="34" t="s">
        <v>102</v>
      </c>
      <c r="B6" s="35" t="s">
        <v>101</v>
      </c>
      <c r="C6" s="36">
        <v>3</v>
      </c>
      <c r="D6" s="37"/>
      <c r="E6" s="38">
        <v>5.5300000000000002E-2</v>
      </c>
      <c r="F6" s="37"/>
      <c r="G6" s="37"/>
      <c r="H6" s="38">
        <v>3.56E-2</v>
      </c>
      <c r="I6" s="37"/>
      <c r="J6" s="37"/>
      <c r="K6" s="37"/>
      <c r="L6" s="37"/>
      <c r="M6" s="37"/>
      <c r="N6" s="38">
        <v>2.5600000000000001E-2</v>
      </c>
      <c r="O6" s="37"/>
      <c r="P6" s="37"/>
    </row>
    <row r="7" spans="1:16" x14ac:dyDescent="0.3">
      <c r="A7" s="34" t="s">
        <v>74</v>
      </c>
      <c r="B7" s="35" t="s">
        <v>73</v>
      </c>
      <c r="C7" s="36">
        <v>3</v>
      </c>
      <c r="D7" s="38">
        <v>3.8600000000000002E-2</v>
      </c>
      <c r="E7" s="38">
        <v>4.4299999999999999E-2</v>
      </c>
      <c r="F7" s="37"/>
      <c r="G7" s="37"/>
      <c r="H7" s="37"/>
      <c r="I7" s="37"/>
      <c r="J7" s="37"/>
      <c r="K7" s="37"/>
      <c r="L7" s="37"/>
      <c r="M7" s="37"/>
      <c r="N7" s="38">
        <v>3.15E-2</v>
      </c>
      <c r="O7" s="37"/>
      <c r="P7" s="37"/>
    </row>
    <row r="8" spans="1:16" x14ac:dyDescent="0.3">
      <c r="A8" s="34" t="s">
        <v>62</v>
      </c>
      <c r="B8" s="35" t="s">
        <v>61</v>
      </c>
      <c r="C8" s="36">
        <v>2</v>
      </c>
      <c r="D8" s="38">
        <v>0.1938</v>
      </c>
      <c r="E8" s="38">
        <v>3.8800000000000001E-2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 x14ac:dyDescent="0.3">
      <c r="A9" s="34" t="s">
        <v>221</v>
      </c>
      <c r="B9" s="35" t="s">
        <v>220</v>
      </c>
      <c r="C9" s="36">
        <v>2</v>
      </c>
      <c r="D9" s="37"/>
      <c r="E9" s="37"/>
      <c r="F9" s="37"/>
      <c r="G9" s="37"/>
      <c r="H9" s="38">
        <v>3.6499999999999998E-2</v>
      </c>
      <c r="I9" s="38">
        <v>0.13739999999999999</v>
      </c>
      <c r="J9" s="37"/>
      <c r="K9" s="37"/>
      <c r="L9" s="37"/>
      <c r="M9" s="37"/>
      <c r="N9" s="37"/>
      <c r="O9" s="37"/>
      <c r="P9" s="37"/>
    </row>
    <row r="10" spans="1:16" x14ac:dyDescent="0.3">
      <c r="A10" s="34" t="s">
        <v>403</v>
      </c>
      <c r="B10" s="35" t="s">
        <v>402</v>
      </c>
      <c r="C10" s="36">
        <v>2</v>
      </c>
      <c r="D10" s="37"/>
      <c r="E10" s="37"/>
      <c r="F10" s="37"/>
      <c r="G10" s="37"/>
      <c r="H10" s="37"/>
      <c r="I10" s="37"/>
      <c r="J10" s="37"/>
      <c r="K10" s="37"/>
      <c r="L10" s="37"/>
      <c r="M10" s="38">
        <v>3.2199999999999999E-2</v>
      </c>
      <c r="N10" s="37"/>
      <c r="O10" s="38">
        <v>0.13719999999999999</v>
      </c>
      <c r="P10" s="37"/>
    </row>
    <row r="11" spans="1:16" x14ac:dyDescent="0.3">
      <c r="A11" s="34" t="s">
        <v>264</v>
      </c>
      <c r="B11" s="35" t="s">
        <v>263</v>
      </c>
      <c r="C11" s="36">
        <v>2</v>
      </c>
      <c r="D11" s="37"/>
      <c r="E11" s="37"/>
      <c r="F11" s="37"/>
      <c r="G11" s="37"/>
      <c r="H11" s="37"/>
      <c r="I11" s="37"/>
      <c r="J11" s="38">
        <v>0.1341</v>
      </c>
      <c r="K11" s="38">
        <v>5.3900000000000003E-2</v>
      </c>
      <c r="L11" s="37"/>
      <c r="M11" s="37"/>
      <c r="N11" s="37"/>
      <c r="O11" s="37"/>
      <c r="P11" s="37"/>
    </row>
    <row r="12" spans="1:16" x14ac:dyDescent="0.3">
      <c r="A12" s="34" t="s">
        <v>233</v>
      </c>
      <c r="B12" s="35" t="s">
        <v>232</v>
      </c>
      <c r="C12" s="36">
        <v>2</v>
      </c>
      <c r="D12" s="37"/>
      <c r="E12" s="37"/>
      <c r="F12" s="37"/>
      <c r="G12" s="37"/>
      <c r="H12" s="38">
        <v>2.1700000000000001E-2</v>
      </c>
      <c r="I12" s="38">
        <v>0.1111</v>
      </c>
      <c r="J12" s="37"/>
      <c r="K12" s="37"/>
      <c r="L12" s="37"/>
      <c r="M12" s="37"/>
      <c r="N12" s="37"/>
      <c r="O12" s="37"/>
      <c r="P12" s="37"/>
    </row>
    <row r="13" spans="1:16" x14ac:dyDescent="0.3">
      <c r="A13" s="34" t="s">
        <v>371</v>
      </c>
      <c r="B13" s="35" t="s">
        <v>370</v>
      </c>
      <c r="C13" s="36">
        <v>2</v>
      </c>
      <c r="D13" s="37"/>
      <c r="E13" s="37"/>
      <c r="F13" s="37"/>
      <c r="G13" s="37"/>
      <c r="H13" s="37"/>
      <c r="I13" s="37"/>
      <c r="J13" s="37"/>
      <c r="K13" s="37"/>
      <c r="L13" s="37"/>
      <c r="M13" s="38">
        <v>9.6199999999999994E-2</v>
      </c>
      <c r="N13" s="37"/>
      <c r="O13" s="38">
        <v>5.1499999999999997E-2</v>
      </c>
      <c r="P13" s="37"/>
    </row>
    <row r="14" spans="1:16" x14ac:dyDescent="0.3">
      <c r="A14" s="34" t="s">
        <v>223</v>
      </c>
      <c r="B14" s="35" t="s">
        <v>222</v>
      </c>
      <c r="C14" s="36">
        <v>2</v>
      </c>
      <c r="D14" s="37"/>
      <c r="E14" s="37"/>
      <c r="F14" s="37"/>
      <c r="G14" s="37"/>
      <c r="H14" s="38">
        <v>3.2599999999999997E-2</v>
      </c>
      <c r="I14" s="38">
        <v>8.5099999999999995E-2</v>
      </c>
      <c r="J14" s="37"/>
      <c r="K14" s="37"/>
      <c r="L14" s="37"/>
      <c r="M14" s="37"/>
      <c r="N14" s="37"/>
      <c r="O14" s="37"/>
      <c r="P14" s="37"/>
    </row>
    <row r="15" spans="1:16" x14ac:dyDescent="0.3">
      <c r="A15" s="34" t="s">
        <v>130</v>
      </c>
      <c r="B15" s="35" t="s">
        <v>129</v>
      </c>
      <c r="C15" s="36">
        <v>2</v>
      </c>
      <c r="D15" s="37"/>
      <c r="E15" s="37"/>
      <c r="F15" s="38">
        <v>8.09E-2</v>
      </c>
      <c r="G15" s="38">
        <v>2.5700000000000001E-2</v>
      </c>
      <c r="H15" s="37"/>
      <c r="I15" s="37"/>
      <c r="J15" s="37"/>
      <c r="K15" s="37"/>
      <c r="L15" s="37"/>
      <c r="M15" s="37"/>
      <c r="N15" s="37"/>
      <c r="O15" s="37"/>
      <c r="P15" s="37"/>
    </row>
    <row r="16" spans="1:16" x14ac:dyDescent="0.3">
      <c r="A16" s="34" t="s">
        <v>383</v>
      </c>
      <c r="B16" s="35" t="s">
        <v>382</v>
      </c>
      <c r="C16" s="36">
        <v>2</v>
      </c>
      <c r="D16" s="37"/>
      <c r="E16" s="37"/>
      <c r="F16" s="37"/>
      <c r="G16" s="37"/>
      <c r="H16" s="37"/>
      <c r="I16" s="37"/>
      <c r="J16" s="37"/>
      <c r="K16" s="37"/>
      <c r="L16" s="37"/>
      <c r="M16" s="38">
        <v>5.45E-2</v>
      </c>
      <c r="N16" s="37"/>
      <c r="O16" s="38">
        <v>6.8900000000000003E-2</v>
      </c>
      <c r="P16" s="37"/>
    </row>
    <row r="17" spans="1:16" x14ac:dyDescent="0.3">
      <c r="A17" s="34" t="s">
        <v>375</v>
      </c>
      <c r="B17" s="35" t="s">
        <v>374</v>
      </c>
      <c r="C17" s="36">
        <v>2</v>
      </c>
      <c r="D17" s="37"/>
      <c r="E17" s="37"/>
      <c r="F17" s="37"/>
      <c r="G17" s="37"/>
      <c r="H17" s="37"/>
      <c r="I17" s="37"/>
      <c r="J17" s="37"/>
      <c r="K17" s="37"/>
      <c r="L17" s="37"/>
      <c r="M17" s="38">
        <v>6.3700000000000007E-2</v>
      </c>
      <c r="N17" s="37"/>
      <c r="O17" s="38">
        <v>2.2100000000000002E-2</v>
      </c>
      <c r="P17" s="37"/>
    </row>
    <row r="18" spans="1:16" x14ac:dyDescent="0.3">
      <c r="A18" s="34" t="s">
        <v>377</v>
      </c>
      <c r="B18" s="35" t="s">
        <v>376</v>
      </c>
      <c r="C18" s="36">
        <v>2</v>
      </c>
      <c r="D18" s="37"/>
      <c r="E18" s="37"/>
      <c r="F18" s="37"/>
      <c r="G18" s="37"/>
      <c r="H18" s="37"/>
      <c r="I18" s="37"/>
      <c r="J18" s="37"/>
      <c r="K18" s="37"/>
      <c r="L18" s="37"/>
      <c r="M18" s="38">
        <v>6.3600000000000004E-2</v>
      </c>
      <c r="N18" s="37"/>
      <c r="O18" s="38">
        <v>3.9E-2</v>
      </c>
      <c r="P18" s="37"/>
    </row>
    <row r="19" spans="1:16" x14ac:dyDescent="0.3">
      <c r="A19" s="34" t="s">
        <v>268</v>
      </c>
      <c r="B19" s="35" t="s">
        <v>267</v>
      </c>
      <c r="C19" s="36">
        <v>2</v>
      </c>
      <c r="D19" s="37"/>
      <c r="E19" s="37"/>
      <c r="F19" s="37"/>
      <c r="G19" s="37"/>
      <c r="H19" s="37"/>
      <c r="I19" s="37"/>
      <c r="J19" s="38">
        <v>5.74E-2</v>
      </c>
      <c r="K19" s="38">
        <v>4.6800000000000001E-2</v>
      </c>
      <c r="L19" s="37"/>
      <c r="M19" s="37"/>
      <c r="N19" s="37"/>
      <c r="O19" s="37"/>
      <c r="P19" s="37"/>
    </row>
    <row r="20" spans="1:16" x14ac:dyDescent="0.3">
      <c r="A20" s="34" t="s">
        <v>211</v>
      </c>
      <c r="B20" s="35" t="s">
        <v>210</v>
      </c>
      <c r="C20" s="36">
        <v>2</v>
      </c>
      <c r="D20" s="37"/>
      <c r="E20" s="37"/>
      <c r="F20" s="37"/>
      <c r="G20" s="37"/>
      <c r="H20" s="38">
        <v>5.5800000000000002E-2</v>
      </c>
      <c r="I20" s="37"/>
      <c r="J20" s="37"/>
      <c r="K20" s="37"/>
      <c r="L20" s="37"/>
      <c r="M20" s="37"/>
      <c r="N20" s="38">
        <v>1.7299999999999999E-2</v>
      </c>
      <c r="O20" s="37"/>
      <c r="P20" s="37"/>
    </row>
    <row r="21" spans="1:16" x14ac:dyDescent="0.3">
      <c r="A21" s="34" t="s">
        <v>213</v>
      </c>
      <c r="B21" s="35" t="s">
        <v>212</v>
      </c>
      <c r="C21" s="36">
        <v>2</v>
      </c>
      <c r="D21" s="37"/>
      <c r="E21" s="37"/>
      <c r="F21" s="37"/>
      <c r="G21" s="37"/>
      <c r="H21" s="38">
        <v>5.5500000000000001E-2</v>
      </c>
      <c r="I21" s="37"/>
      <c r="J21" s="37"/>
      <c r="K21" s="37"/>
      <c r="L21" s="37"/>
      <c r="M21" s="37"/>
      <c r="N21" s="38">
        <v>1.61E-2</v>
      </c>
      <c r="O21" s="37"/>
      <c r="P21" s="37"/>
    </row>
    <row r="22" spans="1:16" x14ac:dyDescent="0.3">
      <c r="A22" s="34" t="s">
        <v>284</v>
      </c>
      <c r="B22" s="35" t="s">
        <v>283</v>
      </c>
      <c r="C22" s="36">
        <v>2</v>
      </c>
      <c r="D22" s="37"/>
      <c r="E22" s="37"/>
      <c r="F22" s="37"/>
      <c r="G22" s="37"/>
      <c r="H22" s="37"/>
      <c r="I22" s="37"/>
      <c r="J22" s="38">
        <v>1.7600000000000001E-2</v>
      </c>
      <c r="K22" s="38">
        <v>5.3699999999999998E-2</v>
      </c>
      <c r="L22" s="37"/>
      <c r="M22" s="37"/>
      <c r="N22" s="37"/>
      <c r="O22" s="37"/>
      <c r="P22" s="37"/>
    </row>
    <row r="23" spans="1:16" x14ac:dyDescent="0.3">
      <c r="A23" s="34" t="s">
        <v>270</v>
      </c>
      <c r="B23" s="35" t="s">
        <v>269</v>
      </c>
      <c r="C23" s="36">
        <v>2</v>
      </c>
      <c r="D23" s="37"/>
      <c r="E23" s="37"/>
      <c r="F23" s="37"/>
      <c r="G23" s="37"/>
      <c r="H23" s="37"/>
      <c r="I23" s="37"/>
      <c r="J23" s="38">
        <v>4.4699999999999997E-2</v>
      </c>
      <c r="K23" s="38">
        <v>5.2499999999999998E-2</v>
      </c>
      <c r="L23" s="37"/>
      <c r="M23" s="37"/>
      <c r="N23" s="37"/>
      <c r="O23" s="37"/>
      <c r="P23" s="37"/>
    </row>
    <row r="24" spans="1:16" x14ac:dyDescent="0.3">
      <c r="A24" s="34" t="s">
        <v>292</v>
      </c>
      <c r="B24" s="35" t="s">
        <v>291</v>
      </c>
      <c r="C24" s="36">
        <v>2</v>
      </c>
      <c r="D24" s="37"/>
      <c r="E24" s="37"/>
      <c r="F24" s="37"/>
      <c r="G24" s="37"/>
      <c r="H24" s="37"/>
      <c r="I24" s="37"/>
      <c r="J24" s="38">
        <v>1.2500000000000001E-2</v>
      </c>
      <c r="K24" s="38">
        <v>5.0999999999999997E-2</v>
      </c>
      <c r="L24" s="37"/>
      <c r="M24" s="37"/>
      <c r="N24" s="37"/>
      <c r="O24" s="37"/>
      <c r="P24" s="37"/>
    </row>
    <row r="25" spans="1:16" x14ac:dyDescent="0.3">
      <c r="A25" s="34" t="s">
        <v>391</v>
      </c>
      <c r="B25" s="35" t="s">
        <v>390</v>
      </c>
      <c r="C25" s="36">
        <v>2</v>
      </c>
      <c r="D25" s="37"/>
      <c r="E25" s="37"/>
      <c r="F25" s="37"/>
      <c r="G25" s="37"/>
      <c r="H25" s="37"/>
      <c r="I25" s="37"/>
      <c r="J25" s="37"/>
      <c r="K25" s="37"/>
      <c r="L25" s="37"/>
      <c r="M25" s="38">
        <v>4.8300000000000003E-2</v>
      </c>
      <c r="N25" s="37"/>
      <c r="O25" s="38">
        <v>1.8800000000000001E-2</v>
      </c>
      <c r="P25" s="37"/>
    </row>
    <row r="26" spans="1:16" x14ac:dyDescent="0.3">
      <c r="A26" s="34" t="s">
        <v>250</v>
      </c>
      <c r="B26" s="35" t="s">
        <v>249</v>
      </c>
      <c r="C26" s="36">
        <v>2</v>
      </c>
      <c r="D26" s="37"/>
      <c r="E26" s="37"/>
      <c r="F26" s="37"/>
      <c r="G26" s="37"/>
      <c r="H26" s="37"/>
      <c r="I26" s="38">
        <v>4.3700000000000003E-2</v>
      </c>
      <c r="J26" s="37"/>
      <c r="K26" s="37"/>
      <c r="L26" s="37"/>
      <c r="M26" s="37"/>
      <c r="N26" s="38">
        <v>1.7000000000000001E-2</v>
      </c>
      <c r="O26" s="37"/>
      <c r="P26" s="37"/>
    </row>
    <row r="27" spans="1:16" x14ac:dyDescent="0.3">
      <c r="A27" s="34" t="s">
        <v>110</v>
      </c>
      <c r="B27" s="35" t="s">
        <v>109</v>
      </c>
      <c r="C27" s="36">
        <v>2</v>
      </c>
      <c r="D27" s="37"/>
      <c r="E27" s="38">
        <v>3.5200000000000002E-2</v>
      </c>
      <c r="F27" s="37"/>
      <c r="G27" s="37"/>
      <c r="H27" s="37"/>
      <c r="I27" s="37"/>
      <c r="J27" s="37"/>
      <c r="K27" s="37"/>
      <c r="L27" s="37"/>
      <c r="M27" s="37"/>
      <c r="N27" s="38">
        <v>2.35E-2</v>
      </c>
      <c r="O27" s="37"/>
      <c r="P27" s="37"/>
    </row>
    <row r="28" spans="1:16" x14ac:dyDescent="0.3">
      <c r="A28" s="34" t="s">
        <v>114</v>
      </c>
      <c r="B28" s="35" t="s">
        <v>113</v>
      </c>
      <c r="C28" s="36">
        <v>2</v>
      </c>
      <c r="D28" s="37"/>
      <c r="E28" s="38">
        <v>3.4099999999999998E-2</v>
      </c>
      <c r="F28" s="37"/>
      <c r="G28" s="37"/>
      <c r="H28" s="37"/>
      <c r="I28" s="37"/>
      <c r="J28" s="37"/>
      <c r="K28" s="37"/>
      <c r="L28" s="37"/>
      <c r="M28" s="37"/>
      <c r="N28" s="38">
        <v>1.9E-2</v>
      </c>
      <c r="O28" s="37"/>
      <c r="P28" s="37"/>
    </row>
    <row r="29" spans="1:16" x14ac:dyDescent="0.3">
      <c r="A29" s="34" t="s">
        <v>237</v>
      </c>
      <c r="B29" s="35" t="s">
        <v>236</v>
      </c>
      <c r="C29" s="36">
        <v>2</v>
      </c>
      <c r="D29" s="37"/>
      <c r="E29" s="37"/>
      <c r="F29" s="37"/>
      <c r="G29" s="37"/>
      <c r="H29" s="38">
        <v>2.0199999999999999E-2</v>
      </c>
      <c r="I29" s="38">
        <v>3.2500000000000001E-2</v>
      </c>
      <c r="J29" s="37"/>
      <c r="K29" s="37"/>
      <c r="L29" s="37"/>
      <c r="M29" s="37"/>
      <c r="N29" s="37"/>
      <c r="O29" s="37"/>
      <c r="P29" s="37"/>
    </row>
    <row r="30" spans="1:16" x14ac:dyDescent="0.3">
      <c r="A30" s="34" t="s">
        <v>186</v>
      </c>
      <c r="B30" s="35" t="s">
        <v>185</v>
      </c>
      <c r="C30" s="36">
        <v>2</v>
      </c>
      <c r="D30" s="37"/>
      <c r="E30" s="37"/>
      <c r="F30" s="37"/>
      <c r="G30" s="38">
        <v>3.1399999999999997E-2</v>
      </c>
      <c r="H30" s="37"/>
      <c r="I30" s="37"/>
      <c r="J30" s="37"/>
      <c r="K30" s="37"/>
      <c r="L30" s="38">
        <v>1.12E-2</v>
      </c>
      <c r="M30" s="37"/>
      <c r="N30" s="37"/>
      <c r="O30" s="37"/>
      <c r="P30" s="37"/>
    </row>
    <row r="31" spans="1:16" x14ac:dyDescent="0.3">
      <c r="A31" s="18" t="s">
        <v>64</v>
      </c>
      <c r="B31" s="17" t="s">
        <v>63</v>
      </c>
      <c r="C31" s="39">
        <v>1</v>
      </c>
      <c r="D31" s="38">
        <v>0.15759999999999999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spans="1:16" x14ac:dyDescent="0.3">
      <c r="A32" s="24" t="s">
        <v>66</v>
      </c>
      <c r="B32" s="23" t="s">
        <v>65</v>
      </c>
      <c r="C32" s="40">
        <v>1</v>
      </c>
      <c r="D32" s="41">
        <v>0.13700000000000001</v>
      </c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</row>
    <row r="33" spans="1:16" x14ac:dyDescent="0.3">
      <c r="A33" s="18" t="s">
        <v>242</v>
      </c>
      <c r="B33" s="17" t="s">
        <v>241</v>
      </c>
      <c r="C33" s="39">
        <v>1</v>
      </c>
      <c r="D33" s="37"/>
      <c r="E33" s="37"/>
      <c r="F33" s="37"/>
      <c r="G33" s="37"/>
      <c r="H33" s="37"/>
      <c r="I33" s="38">
        <v>0.12870000000000001</v>
      </c>
      <c r="J33" s="37"/>
      <c r="K33" s="37"/>
      <c r="L33" s="37"/>
      <c r="M33" s="37"/>
      <c r="N33" s="37"/>
      <c r="O33" s="37"/>
      <c r="P33" s="37"/>
    </row>
    <row r="34" spans="1:16" x14ac:dyDescent="0.3">
      <c r="A34" s="24" t="s">
        <v>94</v>
      </c>
      <c r="B34" s="23" t="s">
        <v>93</v>
      </c>
      <c r="C34" s="40">
        <v>1</v>
      </c>
      <c r="D34" s="42"/>
      <c r="E34" s="41">
        <v>0.1239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</row>
    <row r="35" spans="1:16" x14ac:dyDescent="0.3">
      <c r="A35" s="18" t="s">
        <v>435</v>
      </c>
      <c r="B35" s="17" t="s">
        <v>434</v>
      </c>
      <c r="C35" s="39">
        <v>1</v>
      </c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8">
        <v>0.1072</v>
      </c>
      <c r="P35" s="37"/>
    </row>
    <row r="36" spans="1:16" x14ac:dyDescent="0.3">
      <c r="A36" s="24" t="s">
        <v>96</v>
      </c>
      <c r="B36" s="23" t="s">
        <v>95</v>
      </c>
      <c r="C36" s="40">
        <v>1</v>
      </c>
      <c r="D36" s="42"/>
      <c r="E36" s="41">
        <v>0.1066</v>
      </c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</row>
    <row r="37" spans="1:16" x14ac:dyDescent="0.3">
      <c r="A37" s="18" t="s">
        <v>207</v>
      </c>
      <c r="B37" s="17" t="s">
        <v>123</v>
      </c>
      <c r="C37" s="39">
        <v>1</v>
      </c>
      <c r="D37" s="37"/>
      <c r="E37" s="37"/>
      <c r="F37" s="37"/>
      <c r="G37" s="37"/>
      <c r="H37" s="38">
        <v>0.10150000000000001</v>
      </c>
      <c r="I37" s="37"/>
      <c r="J37" s="37"/>
      <c r="K37" s="37"/>
      <c r="L37" s="37"/>
      <c r="M37" s="37"/>
      <c r="N37" s="37"/>
      <c r="O37" s="37"/>
      <c r="P37" s="37"/>
    </row>
    <row r="38" spans="1:16" x14ac:dyDescent="0.3">
      <c r="A38" s="24" t="s">
        <v>98</v>
      </c>
      <c r="B38" s="23" t="s">
        <v>97</v>
      </c>
      <c r="C38" s="40">
        <v>1</v>
      </c>
      <c r="D38" s="42"/>
      <c r="E38" s="41">
        <v>9.9199999999999997E-2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</row>
    <row r="39" spans="1:16" x14ac:dyDescent="0.3">
      <c r="A39" s="18" t="s">
        <v>209</v>
      </c>
      <c r="B39" s="17" t="s">
        <v>208</v>
      </c>
      <c r="C39" s="39">
        <v>1</v>
      </c>
      <c r="D39" s="37"/>
      <c r="E39" s="37"/>
      <c r="F39" s="37"/>
      <c r="G39" s="37"/>
      <c r="H39" s="38">
        <v>9.2200000000000004E-2</v>
      </c>
      <c r="I39" s="37"/>
      <c r="J39" s="37"/>
      <c r="K39" s="37"/>
      <c r="L39" s="37"/>
      <c r="M39" s="37"/>
      <c r="N39" s="37"/>
      <c r="O39" s="37"/>
      <c r="P39" s="37"/>
    </row>
    <row r="40" spans="1:16" x14ac:dyDescent="0.3">
      <c r="A40" s="24" t="s">
        <v>244</v>
      </c>
      <c r="B40" s="23" t="s">
        <v>243</v>
      </c>
      <c r="C40" s="40">
        <v>1</v>
      </c>
      <c r="D40" s="42"/>
      <c r="E40" s="42"/>
      <c r="F40" s="42"/>
      <c r="G40" s="42"/>
      <c r="H40" s="42"/>
      <c r="I40" s="41">
        <v>8.7400000000000005E-2</v>
      </c>
      <c r="J40" s="42"/>
      <c r="K40" s="42"/>
      <c r="L40" s="42"/>
      <c r="M40" s="42"/>
      <c r="N40" s="42"/>
      <c r="O40" s="42"/>
      <c r="P40" s="42"/>
    </row>
    <row r="41" spans="1:16" x14ac:dyDescent="0.3">
      <c r="A41" s="18" t="s">
        <v>462</v>
      </c>
      <c r="B41" s="17" t="s">
        <v>461</v>
      </c>
      <c r="C41" s="39">
        <v>1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8">
        <v>8.2600000000000007E-2</v>
      </c>
    </row>
    <row r="42" spans="1:16" x14ac:dyDescent="0.3">
      <c r="A42" s="24" t="s">
        <v>464</v>
      </c>
      <c r="B42" s="23" t="s">
        <v>463</v>
      </c>
      <c r="C42" s="40">
        <v>1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1">
        <v>7.8899999999999998E-2</v>
      </c>
    </row>
    <row r="43" spans="1:16" x14ac:dyDescent="0.3">
      <c r="A43" s="18" t="s">
        <v>246</v>
      </c>
      <c r="B43" s="17" t="s">
        <v>245</v>
      </c>
      <c r="C43" s="39">
        <v>1</v>
      </c>
      <c r="D43" s="37"/>
      <c r="E43" s="37"/>
      <c r="F43" s="37"/>
      <c r="G43" s="37"/>
      <c r="H43" s="37"/>
      <c r="I43" s="38">
        <v>7.8100000000000003E-2</v>
      </c>
      <c r="J43" s="37"/>
      <c r="K43" s="37"/>
      <c r="L43" s="37"/>
      <c r="M43" s="37"/>
      <c r="N43" s="37"/>
      <c r="O43" s="37"/>
      <c r="P43" s="37"/>
    </row>
    <row r="44" spans="1:16" x14ac:dyDescent="0.3">
      <c r="A44" s="24" t="s">
        <v>68</v>
      </c>
      <c r="B44" s="23" t="s">
        <v>67</v>
      </c>
      <c r="C44" s="40">
        <v>1</v>
      </c>
      <c r="D44" s="41">
        <v>7.6999999999999999E-2</v>
      </c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</row>
    <row r="45" spans="1:16" x14ac:dyDescent="0.3">
      <c r="A45" s="18" t="s">
        <v>132</v>
      </c>
      <c r="B45" s="17" t="s">
        <v>131</v>
      </c>
      <c r="C45" s="39">
        <v>1</v>
      </c>
      <c r="D45" s="37"/>
      <c r="E45" s="37"/>
      <c r="F45" s="38">
        <v>7.5999999999999998E-2</v>
      </c>
      <c r="G45" s="37"/>
      <c r="H45" s="37"/>
      <c r="I45" s="37"/>
      <c r="J45" s="37"/>
      <c r="K45" s="37"/>
      <c r="L45" s="37"/>
      <c r="M45" s="37"/>
      <c r="N45" s="37"/>
      <c r="O45" s="37"/>
      <c r="P45" s="37"/>
    </row>
    <row r="46" spans="1:16" x14ac:dyDescent="0.3">
      <c r="A46" s="24" t="s">
        <v>100</v>
      </c>
      <c r="B46" s="23" t="s">
        <v>99</v>
      </c>
      <c r="C46" s="40">
        <v>1</v>
      </c>
      <c r="D46" s="42"/>
      <c r="E46" s="41">
        <v>7.2400000000000006E-2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</row>
    <row r="47" spans="1:16" x14ac:dyDescent="0.3">
      <c r="A47" s="18" t="s">
        <v>437</v>
      </c>
      <c r="B47" s="17" t="s">
        <v>436</v>
      </c>
      <c r="C47" s="39">
        <v>1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8">
        <v>7.17E-2</v>
      </c>
      <c r="P47" s="37"/>
    </row>
    <row r="48" spans="1:16" x14ac:dyDescent="0.3">
      <c r="A48" s="24" t="s">
        <v>468</v>
      </c>
      <c r="B48" s="23" t="s">
        <v>467</v>
      </c>
      <c r="C48" s="40">
        <v>1</v>
      </c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1">
        <v>7.1300000000000002E-2</v>
      </c>
    </row>
    <row r="49" spans="1:16" x14ac:dyDescent="0.3">
      <c r="A49" s="18" t="s">
        <v>466</v>
      </c>
      <c r="B49" s="17" t="s">
        <v>465</v>
      </c>
      <c r="C49" s="39">
        <v>1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8">
        <v>7.0699999999999999E-2</v>
      </c>
    </row>
    <row r="50" spans="1:16" x14ac:dyDescent="0.3">
      <c r="A50" s="24" t="s">
        <v>266</v>
      </c>
      <c r="B50" s="23" t="s">
        <v>265</v>
      </c>
      <c r="C50" s="40">
        <v>1</v>
      </c>
      <c r="D50" s="42"/>
      <c r="E50" s="42"/>
      <c r="F50" s="42"/>
      <c r="G50" s="42"/>
      <c r="H50" s="42"/>
      <c r="I50" s="42"/>
      <c r="J50" s="41">
        <v>6.6900000000000001E-2</v>
      </c>
      <c r="K50" s="42"/>
      <c r="L50" s="42"/>
      <c r="M50" s="42"/>
      <c r="N50" s="42"/>
      <c r="O50" s="42"/>
      <c r="P50" s="42"/>
    </row>
    <row r="51" spans="1:16" x14ac:dyDescent="0.3">
      <c r="A51" s="18" t="s">
        <v>373</v>
      </c>
      <c r="B51" s="17" t="s">
        <v>372</v>
      </c>
      <c r="C51" s="39">
        <v>1</v>
      </c>
      <c r="D51" s="37"/>
      <c r="E51" s="37"/>
      <c r="F51" s="37"/>
      <c r="G51" s="37"/>
      <c r="H51" s="37"/>
      <c r="I51" s="37"/>
      <c r="J51" s="37"/>
      <c r="K51" s="37"/>
      <c r="L51" s="37"/>
      <c r="M51" s="38">
        <v>6.4500000000000002E-2</v>
      </c>
      <c r="N51" s="37"/>
      <c r="O51" s="37"/>
      <c r="P51" s="37"/>
    </row>
    <row r="52" spans="1:16" x14ac:dyDescent="0.3">
      <c r="A52" s="24" t="s">
        <v>170</v>
      </c>
      <c r="B52" s="23" t="s">
        <v>169</v>
      </c>
      <c r="C52" s="40">
        <v>1</v>
      </c>
      <c r="D52" s="42"/>
      <c r="E52" s="42"/>
      <c r="F52" s="42"/>
      <c r="G52" s="41">
        <v>6.2799999999999995E-2</v>
      </c>
      <c r="H52" s="42"/>
      <c r="I52" s="42"/>
      <c r="J52" s="42"/>
      <c r="K52" s="42"/>
      <c r="L52" s="42"/>
      <c r="M52" s="42"/>
      <c r="N52" s="42"/>
      <c r="O52" s="42"/>
      <c r="P52" s="42"/>
    </row>
    <row r="53" spans="1:16" x14ac:dyDescent="0.3">
      <c r="A53" s="18" t="s">
        <v>472</v>
      </c>
      <c r="B53" s="17" t="s">
        <v>471</v>
      </c>
      <c r="C53" s="39">
        <v>1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8">
        <v>6.08E-2</v>
      </c>
    </row>
    <row r="54" spans="1:16" x14ac:dyDescent="0.3">
      <c r="A54" s="24" t="s">
        <v>248</v>
      </c>
      <c r="B54" s="23" t="s">
        <v>247</v>
      </c>
      <c r="C54" s="40">
        <v>1</v>
      </c>
      <c r="D54" s="42"/>
      <c r="E54" s="42"/>
      <c r="F54" s="42"/>
      <c r="G54" s="42"/>
      <c r="H54" s="42"/>
      <c r="I54" s="41">
        <v>6.0499999999999998E-2</v>
      </c>
      <c r="J54" s="42"/>
      <c r="K54" s="42"/>
      <c r="L54" s="42"/>
      <c r="M54" s="42"/>
      <c r="N54" s="42"/>
      <c r="O54" s="42"/>
      <c r="P54" s="42"/>
    </row>
    <row r="55" spans="1:16" x14ac:dyDescent="0.3">
      <c r="A55" s="18" t="s">
        <v>470</v>
      </c>
      <c r="B55" s="17" t="s">
        <v>469</v>
      </c>
      <c r="C55" s="39">
        <v>1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8">
        <v>5.6800000000000003E-2</v>
      </c>
    </row>
    <row r="56" spans="1:16" x14ac:dyDescent="0.3">
      <c r="A56" s="24" t="s">
        <v>474</v>
      </c>
      <c r="B56" s="23" t="s">
        <v>473</v>
      </c>
      <c r="C56" s="40">
        <v>1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1">
        <v>5.5800000000000002E-2</v>
      </c>
    </row>
    <row r="57" spans="1:16" x14ac:dyDescent="0.3">
      <c r="A57" s="18" t="s">
        <v>379</v>
      </c>
      <c r="B57" s="17" t="s">
        <v>378</v>
      </c>
      <c r="C57" s="39">
        <v>1</v>
      </c>
      <c r="D57" s="37"/>
      <c r="E57" s="37"/>
      <c r="F57" s="37"/>
      <c r="G57" s="37"/>
      <c r="H57" s="37"/>
      <c r="I57" s="37"/>
      <c r="J57" s="37"/>
      <c r="K57" s="37"/>
      <c r="L57" s="37"/>
      <c r="M57" s="38">
        <v>5.5399999999999998E-2</v>
      </c>
      <c r="N57" s="37"/>
      <c r="O57" s="37"/>
      <c r="P57" s="37"/>
    </row>
    <row r="58" spans="1:16" x14ac:dyDescent="0.3">
      <c r="A58" s="24" t="s">
        <v>104</v>
      </c>
      <c r="B58" s="23" t="s">
        <v>103</v>
      </c>
      <c r="C58" s="40">
        <v>1</v>
      </c>
      <c r="D58" s="42"/>
      <c r="E58" s="41">
        <v>5.5100000000000003E-2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</row>
    <row r="59" spans="1:16" x14ac:dyDescent="0.3">
      <c r="A59" s="18" t="s">
        <v>134</v>
      </c>
      <c r="B59" s="17" t="s">
        <v>133</v>
      </c>
      <c r="C59" s="39">
        <v>1</v>
      </c>
      <c r="D59" s="37"/>
      <c r="E59" s="37"/>
      <c r="F59" s="38">
        <v>5.5E-2</v>
      </c>
      <c r="G59" s="37"/>
      <c r="H59" s="37"/>
      <c r="I59" s="37"/>
      <c r="J59" s="37"/>
      <c r="K59" s="37"/>
      <c r="L59" s="37"/>
      <c r="M59" s="37"/>
      <c r="N59" s="37"/>
      <c r="O59" s="37"/>
      <c r="P59" s="37"/>
    </row>
    <row r="60" spans="1:16" x14ac:dyDescent="0.3">
      <c r="A60" s="24" t="s">
        <v>136</v>
      </c>
      <c r="B60" s="23" t="s">
        <v>135</v>
      </c>
      <c r="C60" s="40">
        <v>1</v>
      </c>
      <c r="D60" s="42"/>
      <c r="E60" s="42"/>
      <c r="F60" s="41">
        <v>5.4699999999999999E-2</v>
      </c>
      <c r="G60" s="42"/>
      <c r="H60" s="42"/>
      <c r="I60" s="42"/>
      <c r="J60" s="42"/>
      <c r="K60" s="42"/>
      <c r="L60" s="42"/>
      <c r="M60" s="42"/>
      <c r="N60" s="42"/>
      <c r="O60" s="42"/>
      <c r="P60" s="42"/>
    </row>
    <row r="61" spans="1:16" x14ac:dyDescent="0.3">
      <c r="A61" s="18" t="s">
        <v>381</v>
      </c>
      <c r="B61" s="17" t="s">
        <v>380</v>
      </c>
      <c r="C61" s="39">
        <v>1</v>
      </c>
      <c r="D61" s="37"/>
      <c r="E61" s="37"/>
      <c r="F61" s="37"/>
      <c r="G61" s="37"/>
      <c r="H61" s="37"/>
      <c r="I61" s="37"/>
      <c r="J61" s="37"/>
      <c r="K61" s="37"/>
      <c r="L61" s="37"/>
      <c r="M61" s="38">
        <v>5.3699999999999998E-2</v>
      </c>
      <c r="N61" s="37"/>
      <c r="O61" s="37"/>
      <c r="P61" s="37"/>
    </row>
    <row r="62" spans="1:16" x14ac:dyDescent="0.3">
      <c r="A62" s="24" t="s">
        <v>385</v>
      </c>
      <c r="B62" s="23" t="s">
        <v>384</v>
      </c>
      <c r="C62" s="40">
        <v>1</v>
      </c>
      <c r="D62" s="42"/>
      <c r="E62" s="42"/>
      <c r="F62" s="42"/>
      <c r="G62" s="42"/>
      <c r="H62" s="42"/>
      <c r="I62" s="42"/>
      <c r="J62" s="42"/>
      <c r="K62" s="42"/>
      <c r="L62" s="42"/>
      <c r="M62" s="41">
        <v>5.2999999999999999E-2</v>
      </c>
      <c r="N62" s="42"/>
      <c r="O62" s="42"/>
      <c r="P62" s="42"/>
    </row>
    <row r="63" spans="1:16" x14ac:dyDescent="0.3">
      <c r="A63" s="18" t="s">
        <v>476</v>
      </c>
      <c r="B63" s="17" t="s">
        <v>475</v>
      </c>
      <c r="C63" s="39">
        <v>1</v>
      </c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8">
        <v>5.2699999999999997E-2</v>
      </c>
    </row>
    <row r="64" spans="1:16" x14ac:dyDescent="0.3">
      <c r="A64" s="24" t="s">
        <v>439</v>
      </c>
      <c r="B64" s="23" t="s">
        <v>438</v>
      </c>
      <c r="C64" s="40">
        <v>1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1">
        <v>5.2499999999999998E-2</v>
      </c>
      <c r="P64" s="42"/>
    </row>
    <row r="65" spans="1:16" x14ac:dyDescent="0.3">
      <c r="A65" s="18" t="s">
        <v>304</v>
      </c>
      <c r="B65" s="17" t="s">
        <v>303</v>
      </c>
      <c r="C65" s="39">
        <v>1</v>
      </c>
      <c r="D65" s="37"/>
      <c r="E65" s="37"/>
      <c r="F65" s="37"/>
      <c r="G65" s="37"/>
      <c r="H65" s="37"/>
      <c r="I65" s="37"/>
      <c r="J65" s="37"/>
      <c r="K65" s="38">
        <v>5.2400000000000002E-2</v>
      </c>
      <c r="L65" s="37"/>
      <c r="M65" s="37"/>
      <c r="N65" s="37"/>
      <c r="O65" s="37"/>
      <c r="P65" s="37"/>
    </row>
    <row r="66" spans="1:16" x14ac:dyDescent="0.3">
      <c r="A66" s="24" t="s">
        <v>306</v>
      </c>
      <c r="B66" s="23" t="s">
        <v>305</v>
      </c>
      <c r="C66" s="40">
        <v>1</v>
      </c>
      <c r="D66" s="42"/>
      <c r="E66" s="42"/>
      <c r="F66" s="42"/>
      <c r="G66" s="42"/>
      <c r="H66" s="42"/>
      <c r="I66" s="42"/>
      <c r="J66" s="42"/>
      <c r="K66" s="41">
        <v>5.21E-2</v>
      </c>
      <c r="L66" s="42"/>
      <c r="M66" s="42"/>
      <c r="N66" s="42"/>
      <c r="O66" s="42"/>
      <c r="P66" s="42"/>
    </row>
    <row r="67" spans="1:16" x14ac:dyDescent="0.3">
      <c r="A67" s="18" t="s">
        <v>308</v>
      </c>
      <c r="B67" s="17" t="s">
        <v>307</v>
      </c>
      <c r="C67" s="39">
        <v>1</v>
      </c>
      <c r="D67" s="37"/>
      <c r="E67" s="37"/>
      <c r="F67" s="37"/>
      <c r="G67" s="37"/>
      <c r="H67" s="37"/>
      <c r="I67" s="37"/>
      <c r="J67" s="37"/>
      <c r="K67" s="38">
        <v>5.1700000000000003E-2</v>
      </c>
      <c r="L67" s="37"/>
      <c r="M67" s="37"/>
      <c r="N67" s="37"/>
      <c r="O67" s="37"/>
      <c r="P67" s="37"/>
    </row>
    <row r="68" spans="1:16" x14ac:dyDescent="0.3">
      <c r="A68" s="24" t="s">
        <v>70</v>
      </c>
      <c r="B68" s="23" t="s">
        <v>69</v>
      </c>
      <c r="C68" s="40">
        <v>1</v>
      </c>
      <c r="D68" s="41">
        <v>5.0500000000000003E-2</v>
      </c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</row>
    <row r="69" spans="1:16" x14ac:dyDescent="0.3">
      <c r="A69" s="18" t="s">
        <v>387</v>
      </c>
      <c r="B69" s="17" t="s">
        <v>386</v>
      </c>
      <c r="C69" s="39">
        <v>1</v>
      </c>
      <c r="D69" s="37"/>
      <c r="E69" s="37"/>
      <c r="F69" s="37"/>
      <c r="G69" s="37"/>
      <c r="H69" s="37"/>
      <c r="I69" s="37"/>
      <c r="J69" s="37"/>
      <c r="K69" s="37"/>
      <c r="L69" s="37"/>
      <c r="M69" s="38">
        <v>5.04E-2</v>
      </c>
      <c r="N69" s="37"/>
      <c r="O69" s="37"/>
      <c r="P69" s="37"/>
    </row>
    <row r="70" spans="1:16" x14ac:dyDescent="0.3">
      <c r="A70" s="24" t="s">
        <v>389</v>
      </c>
      <c r="B70" s="23" t="s">
        <v>388</v>
      </c>
      <c r="C70" s="40">
        <v>1</v>
      </c>
      <c r="D70" s="42"/>
      <c r="E70" s="42"/>
      <c r="F70" s="42"/>
      <c r="G70" s="42"/>
      <c r="H70" s="42"/>
      <c r="I70" s="42"/>
      <c r="J70" s="42"/>
      <c r="K70" s="42"/>
      <c r="L70" s="42"/>
      <c r="M70" s="41">
        <v>4.8599999999999997E-2</v>
      </c>
      <c r="N70" s="42"/>
      <c r="O70" s="42"/>
      <c r="P70" s="42"/>
    </row>
    <row r="71" spans="1:16" x14ac:dyDescent="0.3">
      <c r="A71" s="18" t="s">
        <v>441</v>
      </c>
      <c r="B71" s="17" t="s">
        <v>440</v>
      </c>
      <c r="C71" s="39">
        <v>1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8">
        <v>4.8300000000000003E-2</v>
      </c>
      <c r="P71" s="37"/>
    </row>
    <row r="72" spans="1:16" x14ac:dyDescent="0.3">
      <c r="A72" s="24" t="s">
        <v>310</v>
      </c>
      <c r="B72" s="23" t="s">
        <v>309</v>
      </c>
      <c r="C72" s="40">
        <v>1</v>
      </c>
      <c r="D72" s="42"/>
      <c r="E72" s="42"/>
      <c r="F72" s="42"/>
      <c r="G72" s="42"/>
      <c r="H72" s="42"/>
      <c r="I72" s="42"/>
      <c r="J72" s="42"/>
      <c r="K72" s="41">
        <v>4.8099999999999997E-2</v>
      </c>
      <c r="L72" s="42"/>
      <c r="M72" s="42"/>
      <c r="N72" s="42"/>
      <c r="O72" s="42"/>
      <c r="P72" s="42"/>
    </row>
    <row r="73" spans="1:16" x14ac:dyDescent="0.3">
      <c r="A73" s="18" t="s">
        <v>215</v>
      </c>
      <c r="B73" s="17" t="s">
        <v>214</v>
      </c>
      <c r="C73" s="39">
        <v>1</v>
      </c>
      <c r="D73" s="37"/>
      <c r="E73" s="37"/>
      <c r="F73" s="37"/>
      <c r="G73" s="37"/>
      <c r="H73" s="38">
        <v>4.7600000000000003E-2</v>
      </c>
      <c r="I73" s="37"/>
      <c r="J73" s="37"/>
      <c r="K73" s="37"/>
      <c r="L73" s="37"/>
      <c r="M73" s="37"/>
      <c r="N73" s="37"/>
      <c r="O73" s="37"/>
      <c r="P73" s="37"/>
    </row>
    <row r="74" spans="1:16" x14ac:dyDescent="0.3">
      <c r="A74" s="24" t="s">
        <v>312</v>
      </c>
      <c r="B74" s="23" t="s">
        <v>311</v>
      </c>
      <c r="C74" s="40">
        <v>1</v>
      </c>
      <c r="D74" s="42"/>
      <c r="E74" s="42"/>
      <c r="F74" s="42"/>
      <c r="G74" s="42"/>
      <c r="H74" s="42"/>
      <c r="I74" s="42"/>
      <c r="J74" s="42"/>
      <c r="K74" s="41">
        <v>4.5699999999999998E-2</v>
      </c>
      <c r="L74" s="42"/>
      <c r="M74" s="42"/>
      <c r="N74" s="42"/>
      <c r="O74" s="42"/>
      <c r="P74" s="42"/>
    </row>
    <row r="75" spans="1:16" x14ac:dyDescent="0.3">
      <c r="A75" s="18" t="s">
        <v>314</v>
      </c>
      <c r="B75" s="17" t="s">
        <v>313</v>
      </c>
      <c r="C75" s="39">
        <v>1</v>
      </c>
      <c r="D75" s="37"/>
      <c r="E75" s="37"/>
      <c r="F75" s="37"/>
      <c r="G75" s="37"/>
      <c r="H75" s="37"/>
      <c r="I75" s="37"/>
      <c r="J75" s="37"/>
      <c r="K75" s="38">
        <v>4.5699999999999998E-2</v>
      </c>
      <c r="L75" s="37"/>
      <c r="M75" s="37"/>
      <c r="N75" s="37"/>
      <c r="O75" s="37"/>
      <c r="P75" s="37"/>
    </row>
    <row r="76" spans="1:16" x14ac:dyDescent="0.3">
      <c r="A76" s="24" t="s">
        <v>217</v>
      </c>
      <c r="B76" s="23" t="s">
        <v>216</v>
      </c>
      <c r="C76" s="40">
        <v>1</v>
      </c>
      <c r="D76" s="42"/>
      <c r="E76" s="42"/>
      <c r="F76" s="42"/>
      <c r="G76" s="42"/>
      <c r="H76" s="41">
        <v>4.5100000000000001E-2</v>
      </c>
      <c r="I76" s="42"/>
      <c r="J76" s="42"/>
      <c r="K76" s="42"/>
      <c r="L76" s="42"/>
      <c r="M76" s="42"/>
      <c r="N76" s="42"/>
      <c r="O76" s="42"/>
      <c r="P76" s="42"/>
    </row>
    <row r="77" spans="1:16" x14ac:dyDescent="0.3">
      <c r="A77" s="18" t="s">
        <v>393</v>
      </c>
      <c r="B77" s="17" t="s">
        <v>392</v>
      </c>
      <c r="C77" s="39">
        <v>1</v>
      </c>
      <c r="D77" s="37"/>
      <c r="E77" s="37"/>
      <c r="F77" s="37"/>
      <c r="G77" s="37"/>
      <c r="H77" s="37"/>
      <c r="I77" s="37"/>
      <c r="J77" s="37"/>
      <c r="K77" s="37"/>
      <c r="L77" s="37"/>
      <c r="M77" s="38">
        <v>4.4900000000000002E-2</v>
      </c>
      <c r="N77" s="37"/>
      <c r="O77" s="37"/>
      <c r="P77" s="37"/>
    </row>
    <row r="78" spans="1:16" x14ac:dyDescent="0.3">
      <c r="A78" s="24" t="s">
        <v>478</v>
      </c>
      <c r="B78" s="23" t="s">
        <v>477</v>
      </c>
      <c r="C78" s="40">
        <v>1</v>
      </c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1">
        <v>4.48E-2</v>
      </c>
    </row>
    <row r="79" spans="1:16" x14ac:dyDescent="0.3">
      <c r="A79" s="18" t="s">
        <v>482</v>
      </c>
      <c r="B79" s="17" t="s">
        <v>481</v>
      </c>
      <c r="C79" s="39">
        <v>1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8">
        <v>4.3999999999999997E-2</v>
      </c>
    </row>
    <row r="80" spans="1:16" x14ac:dyDescent="0.3">
      <c r="A80" s="24" t="s">
        <v>172</v>
      </c>
      <c r="B80" s="23" t="s">
        <v>171</v>
      </c>
      <c r="C80" s="40">
        <v>1</v>
      </c>
      <c r="D80" s="42"/>
      <c r="E80" s="42"/>
      <c r="F80" s="42"/>
      <c r="G80" s="41">
        <v>4.3299999999999998E-2</v>
      </c>
      <c r="H80" s="42"/>
      <c r="I80" s="42"/>
      <c r="J80" s="42"/>
      <c r="K80" s="42"/>
      <c r="L80" s="42"/>
      <c r="M80" s="42"/>
      <c r="N80" s="42"/>
      <c r="O80" s="42"/>
      <c r="P80" s="42"/>
    </row>
    <row r="81" spans="1:16" x14ac:dyDescent="0.3">
      <c r="A81" s="18" t="s">
        <v>174</v>
      </c>
      <c r="B81" s="17" t="s">
        <v>173</v>
      </c>
      <c r="C81" s="39">
        <v>1</v>
      </c>
      <c r="D81" s="37"/>
      <c r="E81" s="37"/>
      <c r="F81" s="37"/>
      <c r="G81" s="38">
        <v>4.2599999999999999E-2</v>
      </c>
      <c r="H81" s="37"/>
      <c r="I81" s="37"/>
      <c r="J81" s="37"/>
      <c r="K81" s="37"/>
      <c r="L81" s="37"/>
      <c r="M81" s="37"/>
      <c r="N81" s="37"/>
      <c r="O81" s="37"/>
      <c r="P81" s="37"/>
    </row>
    <row r="82" spans="1:16" x14ac:dyDescent="0.3">
      <c r="A82" s="24" t="s">
        <v>138</v>
      </c>
      <c r="B82" s="23" t="s">
        <v>137</v>
      </c>
      <c r="C82" s="40">
        <v>1</v>
      </c>
      <c r="D82" s="42"/>
      <c r="E82" s="42"/>
      <c r="F82" s="41">
        <v>4.2500000000000003E-2</v>
      </c>
      <c r="G82" s="42"/>
      <c r="H82" s="42"/>
      <c r="I82" s="42"/>
      <c r="J82" s="42"/>
      <c r="K82" s="42"/>
      <c r="L82" s="42"/>
      <c r="M82" s="42"/>
      <c r="N82" s="42"/>
      <c r="O82" s="42"/>
      <c r="P82" s="42"/>
    </row>
    <row r="83" spans="1:16" x14ac:dyDescent="0.3">
      <c r="A83" s="18" t="s">
        <v>480</v>
      </c>
      <c r="B83" s="17" t="s">
        <v>479</v>
      </c>
      <c r="C83" s="39">
        <v>1</v>
      </c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8">
        <v>4.2200000000000001E-2</v>
      </c>
    </row>
    <row r="84" spans="1:16" x14ac:dyDescent="0.3">
      <c r="A84" s="24" t="s">
        <v>176</v>
      </c>
      <c r="B84" s="23" t="s">
        <v>175</v>
      </c>
      <c r="C84" s="40">
        <v>1</v>
      </c>
      <c r="D84" s="42"/>
      <c r="E84" s="42"/>
      <c r="F84" s="42"/>
      <c r="G84" s="41">
        <v>4.2000000000000003E-2</v>
      </c>
      <c r="H84" s="42"/>
      <c r="I84" s="42"/>
      <c r="J84" s="42"/>
      <c r="K84" s="42"/>
      <c r="L84" s="42"/>
      <c r="M84" s="42"/>
      <c r="N84" s="42"/>
      <c r="O84" s="42"/>
      <c r="P84" s="42"/>
    </row>
    <row r="85" spans="1:16" x14ac:dyDescent="0.3">
      <c r="A85" s="18" t="s">
        <v>316</v>
      </c>
      <c r="B85" s="17" t="s">
        <v>315</v>
      </c>
      <c r="C85" s="39">
        <v>1</v>
      </c>
      <c r="D85" s="37"/>
      <c r="E85" s="37"/>
      <c r="F85" s="37"/>
      <c r="G85" s="37"/>
      <c r="H85" s="37"/>
      <c r="I85" s="37"/>
      <c r="J85" s="37"/>
      <c r="K85" s="38">
        <v>4.1700000000000001E-2</v>
      </c>
      <c r="L85" s="37"/>
      <c r="M85" s="37"/>
      <c r="N85" s="37"/>
      <c r="O85" s="37"/>
      <c r="P85" s="37"/>
    </row>
    <row r="86" spans="1:16" x14ac:dyDescent="0.3">
      <c r="A86" s="24" t="s">
        <v>443</v>
      </c>
      <c r="B86" s="23" t="s">
        <v>442</v>
      </c>
      <c r="C86" s="40">
        <v>1</v>
      </c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1">
        <v>4.1700000000000001E-2</v>
      </c>
      <c r="P86" s="42"/>
    </row>
    <row r="87" spans="1:16" x14ac:dyDescent="0.3">
      <c r="A87" s="18" t="s">
        <v>395</v>
      </c>
      <c r="B87" s="17" t="s">
        <v>394</v>
      </c>
      <c r="C87" s="39">
        <v>1</v>
      </c>
      <c r="D87" s="37"/>
      <c r="E87" s="37"/>
      <c r="F87" s="37"/>
      <c r="G87" s="37"/>
      <c r="H87" s="37"/>
      <c r="I87" s="37"/>
      <c r="J87" s="37"/>
      <c r="K87" s="37"/>
      <c r="L87" s="37"/>
      <c r="M87" s="38">
        <v>4.1300000000000003E-2</v>
      </c>
      <c r="N87" s="37"/>
      <c r="O87" s="37"/>
      <c r="P87" s="37"/>
    </row>
    <row r="88" spans="1:16" x14ac:dyDescent="0.3">
      <c r="A88" s="24" t="s">
        <v>72</v>
      </c>
      <c r="B88" s="23" t="s">
        <v>71</v>
      </c>
      <c r="C88" s="40">
        <v>1</v>
      </c>
      <c r="D88" s="41">
        <v>4.0899999999999999E-2</v>
      </c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</row>
    <row r="89" spans="1:16" x14ac:dyDescent="0.3">
      <c r="A89" s="18" t="s">
        <v>140</v>
      </c>
      <c r="B89" s="17" t="s">
        <v>139</v>
      </c>
      <c r="C89" s="39">
        <v>1</v>
      </c>
      <c r="D89" s="37"/>
      <c r="E89" s="37"/>
      <c r="F89" s="38">
        <v>4.0599999999999997E-2</v>
      </c>
      <c r="G89" s="37"/>
      <c r="H89" s="37"/>
      <c r="I89" s="37"/>
      <c r="J89" s="37"/>
      <c r="K89" s="37"/>
      <c r="L89" s="37"/>
      <c r="M89" s="37"/>
      <c r="N89" s="37"/>
      <c r="O89" s="37"/>
      <c r="P89" s="37"/>
    </row>
    <row r="90" spans="1:16" x14ac:dyDescent="0.3">
      <c r="A90" s="24" t="s">
        <v>142</v>
      </c>
      <c r="B90" s="23" t="s">
        <v>141</v>
      </c>
      <c r="C90" s="40">
        <v>1</v>
      </c>
      <c r="D90" s="42"/>
      <c r="E90" s="42"/>
      <c r="F90" s="41">
        <v>4.0300000000000002E-2</v>
      </c>
      <c r="G90" s="42"/>
      <c r="H90" s="42"/>
      <c r="I90" s="42"/>
      <c r="J90" s="42"/>
      <c r="K90" s="42"/>
      <c r="L90" s="42"/>
      <c r="M90" s="42"/>
      <c r="N90" s="42"/>
      <c r="O90" s="42"/>
      <c r="P90" s="42"/>
    </row>
    <row r="91" spans="1:16" x14ac:dyDescent="0.3">
      <c r="A91" s="18" t="s">
        <v>144</v>
      </c>
      <c r="B91" s="17" t="s">
        <v>143</v>
      </c>
      <c r="C91" s="39">
        <v>1</v>
      </c>
      <c r="D91" s="37"/>
      <c r="E91" s="37"/>
      <c r="F91" s="38">
        <v>3.9899999999999998E-2</v>
      </c>
      <c r="G91" s="37"/>
      <c r="H91" s="37"/>
      <c r="I91" s="37"/>
      <c r="J91" s="37"/>
      <c r="K91" s="37"/>
      <c r="L91" s="37"/>
      <c r="M91" s="37"/>
      <c r="N91" s="37"/>
      <c r="O91" s="37"/>
      <c r="P91" s="37"/>
    </row>
    <row r="92" spans="1:16" x14ac:dyDescent="0.3">
      <c r="A92" s="24" t="s">
        <v>106</v>
      </c>
      <c r="B92" s="23" t="s">
        <v>105</v>
      </c>
      <c r="C92" s="40">
        <v>1</v>
      </c>
      <c r="D92" s="42"/>
      <c r="E92" s="41">
        <v>3.9699999999999999E-2</v>
      </c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</row>
    <row r="93" spans="1:16" x14ac:dyDescent="0.3">
      <c r="A93" s="18" t="s">
        <v>146</v>
      </c>
      <c r="B93" s="17" t="s">
        <v>145</v>
      </c>
      <c r="C93" s="39">
        <v>1</v>
      </c>
      <c r="D93" s="37"/>
      <c r="E93" s="37"/>
      <c r="F93" s="38">
        <v>3.9699999999999999E-2</v>
      </c>
      <c r="G93" s="37"/>
      <c r="H93" s="37"/>
      <c r="I93" s="37"/>
      <c r="J93" s="37"/>
      <c r="K93" s="37"/>
      <c r="L93" s="37"/>
      <c r="M93" s="37"/>
      <c r="N93" s="37"/>
      <c r="O93" s="37"/>
      <c r="P93" s="37"/>
    </row>
    <row r="94" spans="1:16" x14ac:dyDescent="0.3">
      <c r="A94" s="24" t="s">
        <v>148</v>
      </c>
      <c r="B94" s="23" t="s">
        <v>147</v>
      </c>
      <c r="C94" s="40">
        <v>1</v>
      </c>
      <c r="D94" s="42"/>
      <c r="E94" s="42"/>
      <c r="F94" s="41">
        <v>3.9399999999999998E-2</v>
      </c>
      <c r="G94" s="42"/>
      <c r="H94" s="42"/>
      <c r="I94" s="42"/>
      <c r="J94" s="42"/>
      <c r="K94" s="42"/>
      <c r="L94" s="42"/>
      <c r="M94" s="42"/>
      <c r="N94" s="42"/>
      <c r="O94" s="42"/>
      <c r="P94" s="42"/>
    </row>
    <row r="95" spans="1:16" x14ac:dyDescent="0.3">
      <c r="A95" s="18" t="s">
        <v>178</v>
      </c>
      <c r="B95" s="17" t="s">
        <v>177</v>
      </c>
      <c r="C95" s="39">
        <v>1</v>
      </c>
      <c r="D95" s="37"/>
      <c r="E95" s="37"/>
      <c r="F95" s="37"/>
      <c r="G95" s="38">
        <v>3.9E-2</v>
      </c>
      <c r="H95" s="37"/>
      <c r="I95" s="37"/>
      <c r="J95" s="37"/>
      <c r="K95" s="37"/>
      <c r="L95" s="37"/>
      <c r="M95" s="37"/>
      <c r="N95" s="37"/>
      <c r="O95" s="37"/>
      <c r="P95" s="37"/>
    </row>
    <row r="96" spans="1:16" x14ac:dyDescent="0.3">
      <c r="A96" s="24" t="s">
        <v>180</v>
      </c>
      <c r="B96" s="23" t="s">
        <v>179</v>
      </c>
      <c r="C96" s="40">
        <v>1</v>
      </c>
      <c r="D96" s="42"/>
      <c r="E96" s="42"/>
      <c r="F96" s="42"/>
      <c r="G96" s="41">
        <v>3.7999999999999999E-2</v>
      </c>
      <c r="H96" s="42"/>
      <c r="I96" s="42"/>
      <c r="J96" s="42"/>
      <c r="K96" s="42"/>
      <c r="L96" s="42"/>
      <c r="M96" s="42"/>
      <c r="N96" s="42"/>
      <c r="O96" s="42"/>
      <c r="P96" s="42"/>
    </row>
    <row r="97" spans="1:16" x14ac:dyDescent="0.3">
      <c r="A97" s="18" t="s">
        <v>150</v>
      </c>
      <c r="B97" s="17" t="s">
        <v>149</v>
      </c>
      <c r="C97" s="39">
        <v>1</v>
      </c>
      <c r="D97" s="37"/>
      <c r="E97" s="37"/>
      <c r="F97" s="38">
        <v>3.7499999999999999E-2</v>
      </c>
      <c r="G97" s="37"/>
      <c r="H97" s="37"/>
      <c r="I97" s="37"/>
      <c r="J97" s="37"/>
      <c r="K97" s="37"/>
      <c r="L97" s="37"/>
      <c r="M97" s="37"/>
      <c r="N97" s="37"/>
      <c r="O97" s="37"/>
      <c r="P97" s="37"/>
    </row>
    <row r="98" spans="1:16" x14ac:dyDescent="0.3">
      <c r="A98" s="24" t="s">
        <v>182</v>
      </c>
      <c r="B98" s="23" t="s">
        <v>181</v>
      </c>
      <c r="C98" s="40">
        <v>1</v>
      </c>
      <c r="D98" s="42"/>
      <c r="E98" s="42"/>
      <c r="F98" s="42"/>
      <c r="G98" s="41">
        <v>3.7100000000000001E-2</v>
      </c>
      <c r="H98" s="42"/>
      <c r="I98" s="42"/>
      <c r="J98" s="42"/>
      <c r="K98" s="42"/>
      <c r="L98" s="42"/>
      <c r="M98" s="42"/>
      <c r="N98" s="42"/>
      <c r="O98" s="42"/>
      <c r="P98" s="42"/>
    </row>
    <row r="99" spans="1:16" x14ac:dyDescent="0.3">
      <c r="A99" s="18" t="s">
        <v>76</v>
      </c>
      <c r="B99" s="17" t="s">
        <v>75</v>
      </c>
      <c r="C99" s="39">
        <v>1</v>
      </c>
      <c r="D99" s="38">
        <v>3.6799999999999999E-2</v>
      </c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</row>
    <row r="100" spans="1:16" x14ac:dyDescent="0.3">
      <c r="A100" s="24" t="s">
        <v>484</v>
      </c>
      <c r="B100" s="23" t="s">
        <v>483</v>
      </c>
      <c r="C100" s="40">
        <v>1</v>
      </c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1">
        <v>3.6700000000000003E-2</v>
      </c>
    </row>
    <row r="101" spans="1:16" x14ac:dyDescent="0.3">
      <c r="A101" s="18" t="s">
        <v>108</v>
      </c>
      <c r="B101" s="17" t="s">
        <v>107</v>
      </c>
      <c r="C101" s="39">
        <v>1</v>
      </c>
      <c r="D101" s="37"/>
      <c r="E101" s="38">
        <v>3.6400000000000002E-2</v>
      </c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</row>
    <row r="102" spans="1:16" x14ac:dyDescent="0.3">
      <c r="A102" s="24" t="s">
        <v>318</v>
      </c>
      <c r="B102" s="23" t="s">
        <v>317</v>
      </c>
      <c r="C102" s="40">
        <v>1</v>
      </c>
      <c r="D102" s="42"/>
      <c r="E102" s="42"/>
      <c r="F102" s="42"/>
      <c r="G102" s="42"/>
      <c r="H102" s="42"/>
      <c r="I102" s="42"/>
      <c r="J102" s="42"/>
      <c r="K102" s="41">
        <v>3.61E-2</v>
      </c>
      <c r="L102" s="42"/>
      <c r="M102" s="42"/>
      <c r="N102" s="42"/>
      <c r="O102" s="42"/>
      <c r="P102" s="42"/>
    </row>
    <row r="103" spans="1:16" x14ac:dyDescent="0.3">
      <c r="A103" s="18" t="s">
        <v>152</v>
      </c>
      <c r="B103" s="17" t="s">
        <v>151</v>
      </c>
      <c r="C103" s="39">
        <v>1</v>
      </c>
      <c r="D103" s="37"/>
      <c r="E103" s="37"/>
      <c r="F103" s="38">
        <v>3.5999999999999997E-2</v>
      </c>
      <c r="G103" s="37"/>
      <c r="H103" s="37"/>
      <c r="I103" s="37"/>
      <c r="J103" s="37"/>
      <c r="K103" s="37"/>
      <c r="L103" s="37"/>
      <c r="M103" s="37"/>
      <c r="N103" s="37"/>
      <c r="O103" s="37"/>
      <c r="P103" s="37"/>
    </row>
    <row r="104" spans="1:16" x14ac:dyDescent="0.3">
      <c r="A104" s="24" t="s">
        <v>320</v>
      </c>
      <c r="B104" s="23" t="s">
        <v>319</v>
      </c>
      <c r="C104" s="40">
        <v>1</v>
      </c>
      <c r="D104" s="42"/>
      <c r="E104" s="42"/>
      <c r="F104" s="42"/>
      <c r="G104" s="42"/>
      <c r="H104" s="42"/>
      <c r="I104" s="42"/>
      <c r="J104" s="42"/>
      <c r="K104" s="41">
        <v>3.5799999999999998E-2</v>
      </c>
      <c r="L104" s="42"/>
      <c r="M104" s="42"/>
      <c r="N104" s="42"/>
      <c r="O104" s="42"/>
      <c r="P104" s="42"/>
    </row>
    <row r="105" spans="1:16" x14ac:dyDescent="0.3">
      <c r="A105" s="18" t="s">
        <v>184</v>
      </c>
      <c r="B105" s="17" t="s">
        <v>183</v>
      </c>
      <c r="C105" s="39">
        <v>1</v>
      </c>
      <c r="D105" s="37"/>
      <c r="E105" s="37"/>
      <c r="F105" s="37"/>
      <c r="G105" s="38">
        <v>3.5200000000000002E-2</v>
      </c>
      <c r="H105" s="37"/>
      <c r="I105" s="37"/>
      <c r="J105" s="37"/>
      <c r="K105" s="37"/>
      <c r="L105" s="37"/>
      <c r="M105" s="37"/>
      <c r="N105" s="37"/>
      <c r="O105" s="37"/>
      <c r="P105" s="37"/>
    </row>
    <row r="106" spans="1:16" x14ac:dyDescent="0.3">
      <c r="A106" s="24" t="s">
        <v>154</v>
      </c>
      <c r="B106" s="23" t="s">
        <v>153</v>
      </c>
      <c r="C106" s="40">
        <v>1</v>
      </c>
      <c r="D106" s="42"/>
      <c r="E106" s="42"/>
      <c r="F106" s="41">
        <v>3.5099999999999999E-2</v>
      </c>
      <c r="G106" s="42"/>
      <c r="H106" s="42"/>
      <c r="I106" s="42"/>
      <c r="J106" s="42"/>
      <c r="K106" s="42"/>
      <c r="L106" s="42"/>
      <c r="M106" s="42"/>
      <c r="N106" s="42"/>
      <c r="O106" s="42"/>
      <c r="P106" s="42"/>
    </row>
    <row r="107" spans="1:16" x14ac:dyDescent="0.3">
      <c r="A107" s="18" t="s">
        <v>272</v>
      </c>
      <c r="B107" s="17" t="s">
        <v>271</v>
      </c>
      <c r="C107" s="39">
        <v>1</v>
      </c>
      <c r="D107" s="37"/>
      <c r="E107" s="37"/>
      <c r="F107" s="37"/>
      <c r="G107" s="37"/>
      <c r="H107" s="37"/>
      <c r="I107" s="37"/>
      <c r="J107" s="38">
        <v>3.5099999999999999E-2</v>
      </c>
      <c r="K107" s="37"/>
      <c r="L107" s="37"/>
      <c r="M107" s="37"/>
      <c r="N107" s="37"/>
      <c r="O107" s="37"/>
      <c r="P107" s="37"/>
    </row>
    <row r="108" spans="1:16" x14ac:dyDescent="0.3">
      <c r="A108" s="24" t="s">
        <v>322</v>
      </c>
      <c r="B108" s="23" t="s">
        <v>321</v>
      </c>
      <c r="C108" s="40">
        <v>1</v>
      </c>
      <c r="D108" s="42"/>
      <c r="E108" s="42"/>
      <c r="F108" s="42"/>
      <c r="G108" s="42"/>
      <c r="H108" s="42"/>
      <c r="I108" s="42"/>
      <c r="J108" s="42"/>
      <c r="K108" s="41">
        <v>3.5099999999999999E-2</v>
      </c>
      <c r="L108" s="42"/>
      <c r="M108" s="42"/>
      <c r="N108" s="42"/>
      <c r="O108" s="42"/>
      <c r="P108" s="42"/>
    </row>
    <row r="109" spans="1:16" x14ac:dyDescent="0.3">
      <c r="A109" s="18" t="s">
        <v>112</v>
      </c>
      <c r="B109" s="17" t="s">
        <v>111</v>
      </c>
      <c r="C109" s="39">
        <v>1</v>
      </c>
      <c r="D109" s="37"/>
      <c r="E109" s="38">
        <v>3.5000000000000003E-2</v>
      </c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</row>
    <row r="110" spans="1:16" x14ac:dyDescent="0.3">
      <c r="A110" s="24" t="s">
        <v>324</v>
      </c>
      <c r="B110" s="23" t="s">
        <v>323</v>
      </c>
      <c r="C110" s="40">
        <v>1</v>
      </c>
      <c r="D110" s="42"/>
      <c r="E110" s="42"/>
      <c r="F110" s="42"/>
      <c r="G110" s="42"/>
      <c r="H110" s="42"/>
      <c r="I110" s="42"/>
      <c r="J110" s="42"/>
      <c r="K110" s="41">
        <v>3.5000000000000003E-2</v>
      </c>
      <c r="L110" s="42"/>
      <c r="M110" s="42"/>
      <c r="N110" s="42"/>
      <c r="O110" s="42"/>
      <c r="P110" s="42"/>
    </row>
    <row r="111" spans="1:16" x14ac:dyDescent="0.3">
      <c r="A111" s="18" t="s">
        <v>486</v>
      </c>
      <c r="B111" s="17" t="s">
        <v>485</v>
      </c>
      <c r="C111" s="39">
        <v>1</v>
      </c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8">
        <v>3.5000000000000003E-2</v>
      </c>
    </row>
    <row r="112" spans="1:16" x14ac:dyDescent="0.3">
      <c r="A112" s="24" t="s">
        <v>156</v>
      </c>
      <c r="B112" s="23" t="s">
        <v>155</v>
      </c>
      <c r="C112" s="40">
        <v>1</v>
      </c>
      <c r="D112" s="42"/>
      <c r="E112" s="42"/>
      <c r="F112" s="41">
        <v>3.39E-2</v>
      </c>
      <c r="G112" s="42"/>
      <c r="H112" s="42"/>
      <c r="I112" s="42"/>
      <c r="J112" s="42"/>
      <c r="K112" s="42"/>
      <c r="L112" s="42"/>
      <c r="M112" s="42"/>
      <c r="N112" s="42"/>
      <c r="O112" s="42"/>
      <c r="P112" s="42"/>
    </row>
    <row r="113" spans="1:16" x14ac:dyDescent="0.3">
      <c r="A113" s="18" t="s">
        <v>116</v>
      </c>
      <c r="B113" s="17" t="s">
        <v>115</v>
      </c>
      <c r="C113" s="39">
        <v>1</v>
      </c>
      <c r="D113" s="37"/>
      <c r="E113" s="38">
        <v>3.3799999999999997E-2</v>
      </c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</row>
    <row r="114" spans="1:16" x14ac:dyDescent="0.3">
      <c r="A114" s="24" t="s">
        <v>158</v>
      </c>
      <c r="B114" s="23" t="s">
        <v>157</v>
      </c>
      <c r="C114" s="40">
        <v>1</v>
      </c>
      <c r="D114" s="42"/>
      <c r="E114" s="42"/>
      <c r="F114" s="41">
        <v>3.3700000000000001E-2</v>
      </c>
      <c r="G114" s="42"/>
      <c r="H114" s="42"/>
      <c r="I114" s="42"/>
      <c r="J114" s="42"/>
      <c r="K114" s="42"/>
      <c r="L114" s="42"/>
      <c r="M114" s="42"/>
      <c r="N114" s="42"/>
      <c r="O114" s="42"/>
      <c r="P114" s="42"/>
    </row>
    <row r="115" spans="1:16" x14ac:dyDescent="0.3">
      <c r="A115" s="18" t="s">
        <v>274</v>
      </c>
      <c r="B115" s="17" t="s">
        <v>273</v>
      </c>
      <c r="C115" s="39">
        <v>1</v>
      </c>
      <c r="D115" s="37"/>
      <c r="E115" s="37"/>
      <c r="F115" s="37"/>
      <c r="G115" s="37"/>
      <c r="H115" s="37"/>
      <c r="I115" s="37"/>
      <c r="J115" s="38">
        <v>3.3500000000000002E-2</v>
      </c>
      <c r="K115" s="37"/>
      <c r="L115" s="37"/>
      <c r="M115" s="37"/>
      <c r="N115" s="37"/>
      <c r="O115" s="37"/>
      <c r="P115" s="37"/>
    </row>
    <row r="116" spans="1:16" x14ac:dyDescent="0.3">
      <c r="A116" s="24" t="s">
        <v>276</v>
      </c>
      <c r="B116" s="23" t="s">
        <v>275</v>
      </c>
      <c r="C116" s="40">
        <v>1</v>
      </c>
      <c r="D116" s="42"/>
      <c r="E116" s="42"/>
      <c r="F116" s="42"/>
      <c r="G116" s="42"/>
      <c r="H116" s="42"/>
      <c r="I116" s="42"/>
      <c r="J116" s="41">
        <v>3.3399999999999999E-2</v>
      </c>
      <c r="K116" s="42"/>
      <c r="L116" s="42"/>
      <c r="M116" s="42"/>
      <c r="N116" s="42"/>
      <c r="O116" s="42"/>
      <c r="P116" s="42"/>
    </row>
    <row r="117" spans="1:16" x14ac:dyDescent="0.3">
      <c r="A117" s="18" t="s">
        <v>326</v>
      </c>
      <c r="B117" s="17" t="s">
        <v>325</v>
      </c>
      <c r="C117" s="39">
        <v>1</v>
      </c>
      <c r="D117" s="37"/>
      <c r="E117" s="37"/>
      <c r="F117" s="37"/>
      <c r="G117" s="37"/>
      <c r="H117" s="37"/>
      <c r="I117" s="37"/>
      <c r="J117" s="37"/>
      <c r="K117" s="38">
        <v>3.2899999999999999E-2</v>
      </c>
      <c r="L117" s="37"/>
      <c r="M117" s="37"/>
      <c r="N117" s="37"/>
      <c r="O117" s="37"/>
      <c r="P117" s="37"/>
    </row>
    <row r="118" spans="1:16" x14ac:dyDescent="0.3">
      <c r="A118" s="24" t="s">
        <v>160</v>
      </c>
      <c r="B118" s="23" t="s">
        <v>159</v>
      </c>
      <c r="C118" s="40">
        <v>1</v>
      </c>
      <c r="D118" s="42"/>
      <c r="E118" s="42"/>
      <c r="F118" s="41">
        <v>3.2300000000000002E-2</v>
      </c>
      <c r="G118" s="42"/>
      <c r="H118" s="42"/>
      <c r="I118" s="42"/>
      <c r="J118" s="42"/>
      <c r="K118" s="42"/>
      <c r="L118" s="42"/>
      <c r="M118" s="42"/>
      <c r="N118" s="42"/>
      <c r="O118" s="42"/>
      <c r="P118" s="42"/>
    </row>
    <row r="119" spans="1:16" x14ac:dyDescent="0.3">
      <c r="A119" s="18" t="s">
        <v>225</v>
      </c>
      <c r="B119" s="17" t="s">
        <v>224</v>
      </c>
      <c r="C119" s="39">
        <v>1</v>
      </c>
      <c r="D119" s="37"/>
      <c r="E119" s="37"/>
      <c r="F119" s="37"/>
      <c r="G119" s="37"/>
      <c r="H119" s="38">
        <v>3.1899999999999998E-2</v>
      </c>
      <c r="I119" s="37"/>
      <c r="J119" s="37"/>
      <c r="K119" s="37"/>
      <c r="L119" s="37"/>
      <c r="M119" s="37"/>
      <c r="N119" s="37"/>
      <c r="O119" s="37"/>
      <c r="P119" s="37"/>
    </row>
    <row r="120" spans="1:16" x14ac:dyDescent="0.3">
      <c r="A120" s="24" t="s">
        <v>162</v>
      </c>
      <c r="B120" s="23" t="s">
        <v>161</v>
      </c>
      <c r="C120" s="40">
        <v>1</v>
      </c>
      <c r="D120" s="42"/>
      <c r="E120" s="42"/>
      <c r="F120" s="41">
        <v>3.1800000000000002E-2</v>
      </c>
      <c r="G120" s="42"/>
      <c r="H120" s="42"/>
      <c r="I120" s="42"/>
      <c r="J120" s="42"/>
      <c r="K120" s="42"/>
      <c r="L120" s="42"/>
      <c r="M120" s="42"/>
      <c r="N120" s="42"/>
      <c r="O120" s="42"/>
      <c r="P120" s="42"/>
    </row>
    <row r="121" spans="1:16" x14ac:dyDescent="0.3">
      <c r="A121" s="18" t="s">
        <v>164</v>
      </c>
      <c r="B121" s="17" t="s">
        <v>163</v>
      </c>
      <c r="C121" s="39">
        <v>1</v>
      </c>
      <c r="D121" s="37"/>
      <c r="E121" s="37"/>
      <c r="F121" s="38">
        <v>3.1399999999999997E-2</v>
      </c>
      <c r="G121" s="37"/>
      <c r="H121" s="37"/>
      <c r="I121" s="37"/>
      <c r="J121" s="37"/>
      <c r="K121" s="37"/>
      <c r="L121" s="37"/>
      <c r="M121" s="37"/>
      <c r="N121" s="37"/>
      <c r="O121" s="37"/>
      <c r="P121" s="37"/>
    </row>
    <row r="122" spans="1:16" x14ac:dyDescent="0.3">
      <c r="A122" s="24" t="s">
        <v>78</v>
      </c>
      <c r="B122" s="23" t="s">
        <v>77</v>
      </c>
      <c r="C122" s="40">
        <v>1</v>
      </c>
      <c r="D122" s="41">
        <v>3.1300000000000001E-2</v>
      </c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</row>
    <row r="123" spans="1:16" x14ac:dyDescent="0.3">
      <c r="A123" s="18" t="s">
        <v>445</v>
      </c>
      <c r="B123" s="17" t="s">
        <v>444</v>
      </c>
      <c r="C123" s="39">
        <v>1</v>
      </c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8">
        <v>3.1300000000000001E-2</v>
      </c>
      <c r="P123" s="37"/>
    </row>
    <row r="124" spans="1:16" x14ac:dyDescent="0.3">
      <c r="A124" s="24" t="s">
        <v>188</v>
      </c>
      <c r="B124" s="23" t="s">
        <v>187</v>
      </c>
      <c r="C124" s="40">
        <v>1</v>
      </c>
      <c r="D124" s="42"/>
      <c r="E124" s="42"/>
      <c r="F124" s="42"/>
      <c r="G124" s="41">
        <v>3.0099999999999998E-2</v>
      </c>
      <c r="H124" s="42"/>
      <c r="I124" s="42"/>
      <c r="J124" s="42"/>
      <c r="K124" s="42"/>
      <c r="L124" s="42"/>
      <c r="M124" s="42"/>
      <c r="N124" s="42"/>
      <c r="O124" s="42"/>
      <c r="P124" s="42"/>
    </row>
    <row r="125" spans="1:16" x14ac:dyDescent="0.3">
      <c r="A125" s="18" t="s">
        <v>447</v>
      </c>
      <c r="B125" s="17" t="s">
        <v>446</v>
      </c>
      <c r="C125" s="39">
        <v>1</v>
      </c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8">
        <v>2.98E-2</v>
      </c>
      <c r="P125" s="37"/>
    </row>
    <row r="126" spans="1:16" x14ac:dyDescent="0.3">
      <c r="A126" s="24" t="s">
        <v>227</v>
      </c>
      <c r="B126" s="23" t="s">
        <v>226</v>
      </c>
      <c r="C126" s="40">
        <v>1</v>
      </c>
      <c r="D126" s="42"/>
      <c r="E126" s="42"/>
      <c r="F126" s="42"/>
      <c r="G126" s="42"/>
      <c r="H126" s="41">
        <v>2.9499999999999998E-2</v>
      </c>
      <c r="I126" s="42"/>
      <c r="J126" s="42"/>
      <c r="K126" s="42"/>
      <c r="L126" s="42"/>
      <c r="M126" s="42"/>
      <c r="N126" s="42"/>
      <c r="O126" s="42"/>
      <c r="P126" s="42"/>
    </row>
    <row r="127" spans="1:16" x14ac:dyDescent="0.3">
      <c r="A127" s="18" t="s">
        <v>397</v>
      </c>
      <c r="B127" s="17" t="s">
        <v>396</v>
      </c>
      <c r="C127" s="39">
        <v>1</v>
      </c>
      <c r="D127" s="37"/>
      <c r="E127" s="37"/>
      <c r="F127" s="37"/>
      <c r="G127" s="37"/>
      <c r="H127" s="37"/>
      <c r="I127" s="37"/>
      <c r="J127" s="37"/>
      <c r="K127" s="37"/>
      <c r="L127" s="37"/>
      <c r="M127" s="38">
        <v>2.9399999999999999E-2</v>
      </c>
      <c r="N127" s="37"/>
      <c r="O127" s="37"/>
      <c r="P127" s="37"/>
    </row>
    <row r="128" spans="1:16" x14ac:dyDescent="0.3">
      <c r="A128" s="24" t="s">
        <v>278</v>
      </c>
      <c r="B128" s="23" t="s">
        <v>277</v>
      </c>
      <c r="C128" s="40">
        <v>1</v>
      </c>
      <c r="D128" s="42"/>
      <c r="E128" s="42"/>
      <c r="F128" s="42"/>
      <c r="G128" s="42"/>
      <c r="H128" s="42"/>
      <c r="I128" s="42"/>
      <c r="J128" s="41">
        <v>2.93E-2</v>
      </c>
      <c r="K128" s="42"/>
      <c r="L128" s="42"/>
      <c r="M128" s="42"/>
      <c r="N128" s="42"/>
      <c r="O128" s="42"/>
      <c r="P128" s="42"/>
    </row>
    <row r="129" spans="1:16" x14ac:dyDescent="0.3">
      <c r="A129" s="18" t="s">
        <v>490</v>
      </c>
      <c r="B129" s="17" t="s">
        <v>489</v>
      </c>
      <c r="C129" s="39">
        <v>1</v>
      </c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8">
        <v>2.92E-2</v>
      </c>
    </row>
    <row r="130" spans="1:16" x14ac:dyDescent="0.3">
      <c r="A130" s="24" t="s">
        <v>488</v>
      </c>
      <c r="B130" s="23" t="s">
        <v>487</v>
      </c>
      <c r="C130" s="40">
        <v>1</v>
      </c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1">
        <v>2.9000000000000001E-2</v>
      </c>
    </row>
    <row r="131" spans="1:16" x14ac:dyDescent="0.3">
      <c r="A131" s="18" t="s">
        <v>190</v>
      </c>
      <c r="B131" s="17" t="s">
        <v>189</v>
      </c>
      <c r="C131" s="39">
        <v>1</v>
      </c>
      <c r="D131" s="37"/>
      <c r="E131" s="37"/>
      <c r="F131" s="37"/>
      <c r="G131" s="38">
        <v>2.86E-2</v>
      </c>
      <c r="H131" s="37"/>
      <c r="I131" s="37"/>
      <c r="J131" s="37"/>
      <c r="K131" s="37"/>
      <c r="L131" s="37"/>
      <c r="M131" s="37"/>
      <c r="N131" s="37"/>
      <c r="O131" s="37"/>
      <c r="P131" s="37"/>
    </row>
    <row r="132" spans="1:16" x14ac:dyDescent="0.3">
      <c r="A132" s="24" t="s">
        <v>399</v>
      </c>
      <c r="B132" s="23" t="s">
        <v>398</v>
      </c>
      <c r="C132" s="40">
        <v>1</v>
      </c>
      <c r="D132" s="42"/>
      <c r="E132" s="42"/>
      <c r="F132" s="42"/>
      <c r="G132" s="42"/>
      <c r="H132" s="42"/>
      <c r="I132" s="42"/>
      <c r="J132" s="42"/>
      <c r="K132" s="42"/>
      <c r="L132" s="42"/>
      <c r="M132" s="41">
        <v>2.8000000000000001E-2</v>
      </c>
      <c r="N132" s="42"/>
      <c r="O132" s="42"/>
      <c r="P132" s="42"/>
    </row>
    <row r="133" spans="1:16" x14ac:dyDescent="0.3">
      <c r="A133" s="18" t="s">
        <v>118</v>
      </c>
      <c r="B133" s="17" t="s">
        <v>117</v>
      </c>
      <c r="C133" s="39">
        <v>1</v>
      </c>
      <c r="D133" s="37"/>
      <c r="E133" s="38">
        <v>2.76E-2</v>
      </c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</row>
    <row r="134" spans="1:16" x14ac:dyDescent="0.3">
      <c r="A134" s="24" t="s">
        <v>449</v>
      </c>
      <c r="B134" s="23" t="s">
        <v>448</v>
      </c>
      <c r="C134" s="40">
        <v>1</v>
      </c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1">
        <v>2.75E-2</v>
      </c>
      <c r="P134" s="42"/>
    </row>
    <row r="135" spans="1:16" x14ac:dyDescent="0.3">
      <c r="A135" s="18" t="s">
        <v>192</v>
      </c>
      <c r="B135" s="17" t="s">
        <v>191</v>
      </c>
      <c r="C135" s="39">
        <v>1</v>
      </c>
      <c r="D135" s="37"/>
      <c r="E135" s="37"/>
      <c r="F135" s="37"/>
      <c r="G135" s="38">
        <v>2.7099999999999999E-2</v>
      </c>
      <c r="H135" s="37"/>
      <c r="I135" s="37"/>
      <c r="J135" s="37"/>
      <c r="K135" s="37"/>
      <c r="L135" s="37"/>
      <c r="M135" s="37"/>
      <c r="N135" s="37"/>
      <c r="O135" s="37"/>
      <c r="P135" s="37"/>
    </row>
    <row r="136" spans="1:16" x14ac:dyDescent="0.3">
      <c r="A136" s="24" t="s">
        <v>401</v>
      </c>
      <c r="B136" s="23" t="s">
        <v>400</v>
      </c>
      <c r="C136" s="40">
        <v>1</v>
      </c>
      <c r="D136" s="42"/>
      <c r="E136" s="42"/>
      <c r="F136" s="42"/>
      <c r="G136" s="42"/>
      <c r="H136" s="42"/>
      <c r="I136" s="42"/>
      <c r="J136" s="42"/>
      <c r="K136" s="42"/>
      <c r="L136" s="42"/>
      <c r="M136" s="41">
        <v>2.63E-2</v>
      </c>
      <c r="N136" s="42"/>
      <c r="O136" s="42"/>
      <c r="P136" s="42"/>
    </row>
    <row r="137" spans="1:16" x14ac:dyDescent="0.3">
      <c r="A137" s="18" t="s">
        <v>413</v>
      </c>
      <c r="B137" s="17" t="s">
        <v>412</v>
      </c>
      <c r="C137" s="39">
        <v>1</v>
      </c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8">
        <v>2.6200000000000001E-2</v>
      </c>
      <c r="O137" s="37"/>
      <c r="P137" s="37"/>
    </row>
    <row r="138" spans="1:16" x14ac:dyDescent="0.3">
      <c r="A138" s="24" t="s">
        <v>120</v>
      </c>
      <c r="B138" s="23" t="s">
        <v>119</v>
      </c>
      <c r="C138" s="40">
        <v>1</v>
      </c>
      <c r="D138" s="42"/>
      <c r="E138" s="41">
        <v>2.5999999999999999E-2</v>
      </c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</row>
    <row r="139" spans="1:16" x14ac:dyDescent="0.3">
      <c r="A139" s="18" t="s">
        <v>492</v>
      </c>
      <c r="B139" s="17" t="s">
        <v>491</v>
      </c>
      <c r="C139" s="39">
        <v>1</v>
      </c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8">
        <v>2.5000000000000001E-2</v>
      </c>
    </row>
    <row r="140" spans="1:16" x14ac:dyDescent="0.3">
      <c r="A140" s="24" t="s">
        <v>411</v>
      </c>
      <c r="B140" s="23" t="s">
        <v>410</v>
      </c>
      <c r="C140" s="40">
        <v>1</v>
      </c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1">
        <v>2.47E-2</v>
      </c>
      <c r="O140" s="42"/>
      <c r="P140" s="42"/>
    </row>
    <row r="141" spans="1:16" x14ac:dyDescent="0.3">
      <c r="A141" s="18" t="s">
        <v>194</v>
      </c>
      <c r="B141" s="17" t="s">
        <v>193</v>
      </c>
      <c r="C141" s="39">
        <v>1</v>
      </c>
      <c r="D141" s="37"/>
      <c r="E141" s="37"/>
      <c r="F141" s="37"/>
      <c r="G141" s="38">
        <v>2.4500000000000001E-2</v>
      </c>
      <c r="H141" s="37"/>
      <c r="I141" s="37"/>
      <c r="J141" s="37"/>
      <c r="K141" s="37"/>
      <c r="L141" s="37"/>
      <c r="M141" s="37"/>
      <c r="N141" s="37"/>
      <c r="O141" s="37"/>
      <c r="P141" s="37"/>
    </row>
    <row r="142" spans="1:16" x14ac:dyDescent="0.3">
      <c r="A142" s="24" t="s">
        <v>451</v>
      </c>
      <c r="B142" s="23" t="s">
        <v>450</v>
      </c>
      <c r="C142" s="40">
        <v>1</v>
      </c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1">
        <v>2.4400000000000002E-2</v>
      </c>
      <c r="P142" s="42"/>
    </row>
    <row r="143" spans="1:16" x14ac:dyDescent="0.3">
      <c r="A143" s="18" t="s">
        <v>252</v>
      </c>
      <c r="B143" s="17" t="s">
        <v>251</v>
      </c>
      <c r="C143" s="39">
        <v>1</v>
      </c>
      <c r="D143" s="37"/>
      <c r="E143" s="37"/>
      <c r="F143" s="37"/>
      <c r="G143" s="37"/>
      <c r="H143" s="37"/>
      <c r="I143" s="38">
        <v>2.4299999999999999E-2</v>
      </c>
      <c r="J143" s="37"/>
      <c r="K143" s="37"/>
      <c r="L143" s="37"/>
      <c r="M143" s="37"/>
      <c r="N143" s="37"/>
      <c r="O143" s="37"/>
      <c r="P143" s="37"/>
    </row>
    <row r="144" spans="1:16" x14ac:dyDescent="0.3">
      <c r="A144" s="24" t="s">
        <v>494</v>
      </c>
      <c r="B144" s="23" t="s">
        <v>493</v>
      </c>
      <c r="C144" s="40">
        <v>1</v>
      </c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1">
        <v>2.4299999999999999E-2</v>
      </c>
    </row>
    <row r="145" spans="1:16" x14ac:dyDescent="0.3">
      <c r="A145" s="18" t="s">
        <v>122</v>
      </c>
      <c r="B145" s="17" t="s">
        <v>121</v>
      </c>
      <c r="C145" s="39">
        <v>1</v>
      </c>
      <c r="D145" s="37"/>
      <c r="E145" s="38">
        <v>2.4199999999999999E-2</v>
      </c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</row>
    <row r="146" spans="1:16" x14ac:dyDescent="0.3">
      <c r="A146" s="24" t="s">
        <v>196</v>
      </c>
      <c r="B146" s="23" t="s">
        <v>195</v>
      </c>
      <c r="C146" s="40">
        <v>1</v>
      </c>
      <c r="D146" s="42"/>
      <c r="E146" s="42"/>
      <c r="F146" s="42"/>
      <c r="G146" s="41">
        <v>2.4E-2</v>
      </c>
      <c r="H146" s="42"/>
      <c r="I146" s="42"/>
      <c r="J146" s="42"/>
      <c r="K146" s="42"/>
      <c r="L146" s="42"/>
      <c r="M146" s="42"/>
      <c r="N146" s="42"/>
      <c r="O146" s="42"/>
      <c r="P146" s="42"/>
    </row>
    <row r="147" spans="1:16" x14ac:dyDescent="0.3">
      <c r="A147" s="18" t="s">
        <v>328</v>
      </c>
      <c r="B147" s="17" t="s">
        <v>327</v>
      </c>
      <c r="C147" s="39">
        <v>1</v>
      </c>
      <c r="D147" s="37"/>
      <c r="E147" s="37"/>
      <c r="F147" s="37"/>
      <c r="G147" s="37"/>
      <c r="H147" s="37"/>
      <c r="I147" s="37"/>
      <c r="J147" s="37"/>
      <c r="K147" s="38">
        <v>2.4E-2</v>
      </c>
      <c r="L147" s="37"/>
      <c r="M147" s="37"/>
      <c r="N147" s="37"/>
      <c r="O147" s="37"/>
      <c r="P147" s="37"/>
    </row>
    <row r="148" spans="1:16" x14ac:dyDescent="0.3">
      <c r="A148" s="24" t="s">
        <v>198</v>
      </c>
      <c r="B148" s="23" t="s">
        <v>197</v>
      </c>
      <c r="C148" s="40">
        <v>1</v>
      </c>
      <c r="D148" s="42"/>
      <c r="E148" s="42"/>
      <c r="F148" s="42"/>
      <c r="G148" s="41">
        <v>2.35E-2</v>
      </c>
      <c r="H148" s="42"/>
      <c r="I148" s="42"/>
      <c r="J148" s="42"/>
      <c r="K148" s="42"/>
      <c r="L148" s="42"/>
      <c r="M148" s="42"/>
      <c r="N148" s="42"/>
      <c r="O148" s="42"/>
      <c r="P148" s="42"/>
    </row>
    <row r="149" spans="1:16" x14ac:dyDescent="0.3">
      <c r="A149" s="18" t="s">
        <v>405</v>
      </c>
      <c r="B149" s="17" t="s">
        <v>404</v>
      </c>
      <c r="C149" s="39">
        <v>1</v>
      </c>
      <c r="D149" s="37"/>
      <c r="E149" s="37"/>
      <c r="F149" s="37"/>
      <c r="G149" s="37"/>
      <c r="H149" s="37"/>
      <c r="I149" s="37"/>
      <c r="J149" s="37"/>
      <c r="K149" s="37"/>
      <c r="L149" s="37"/>
      <c r="M149" s="38">
        <v>2.3400000000000001E-2</v>
      </c>
      <c r="N149" s="37"/>
      <c r="O149" s="37"/>
      <c r="P149" s="37"/>
    </row>
    <row r="150" spans="1:16" x14ac:dyDescent="0.3">
      <c r="A150" s="24" t="s">
        <v>254</v>
      </c>
      <c r="B150" s="23" t="s">
        <v>253</v>
      </c>
      <c r="C150" s="40">
        <v>1</v>
      </c>
      <c r="D150" s="42"/>
      <c r="E150" s="42"/>
      <c r="F150" s="42"/>
      <c r="G150" s="42"/>
      <c r="H150" s="42"/>
      <c r="I150" s="41">
        <v>2.3300000000000001E-2</v>
      </c>
      <c r="J150" s="42"/>
      <c r="K150" s="42"/>
      <c r="L150" s="42"/>
      <c r="M150" s="42"/>
      <c r="N150" s="42"/>
      <c r="O150" s="42"/>
      <c r="P150" s="42"/>
    </row>
    <row r="151" spans="1:16" x14ac:dyDescent="0.3">
      <c r="A151" s="18" t="s">
        <v>280</v>
      </c>
      <c r="B151" s="17" t="s">
        <v>279</v>
      </c>
      <c r="C151" s="39">
        <v>1</v>
      </c>
      <c r="D151" s="37"/>
      <c r="E151" s="37"/>
      <c r="F151" s="37"/>
      <c r="G151" s="37"/>
      <c r="H151" s="37"/>
      <c r="I151" s="37"/>
      <c r="J151" s="38">
        <v>2.3099999999999999E-2</v>
      </c>
      <c r="K151" s="37"/>
      <c r="L151" s="37"/>
      <c r="M151" s="37"/>
      <c r="N151" s="37"/>
      <c r="O151" s="37"/>
      <c r="P151" s="37"/>
    </row>
    <row r="152" spans="1:16" x14ac:dyDescent="0.3">
      <c r="A152" s="24" t="s">
        <v>229</v>
      </c>
      <c r="B152" s="23" t="s">
        <v>228</v>
      </c>
      <c r="C152" s="40">
        <v>1</v>
      </c>
      <c r="D152" s="42"/>
      <c r="E152" s="42"/>
      <c r="F152" s="42"/>
      <c r="G152" s="42"/>
      <c r="H152" s="41">
        <v>2.29E-2</v>
      </c>
      <c r="I152" s="42"/>
      <c r="J152" s="42"/>
      <c r="K152" s="42"/>
      <c r="L152" s="42"/>
      <c r="M152" s="42"/>
      <c r="N152" s="42"/>
      <c r="O152" s="42"/>
      <c r="P152" s="42"/>
    </row>
    <row r="153" spans="1:16" x14ac:dyDescent="0.3">
      <c r="A153" s="18" t="s">
        <v>231</v>
      </c>
      <c r="B153" s="17" t="s">
        <v>230</v>
      </c>
      <c r="C153" s="39">
        <v>1</v>
      </c>
      <c r="D153" s="37"/>
      <c r="E153" s="37"/>
      <c r="F153" s="37"/>
      <c r="G153" s="37"/>
      <c r="H153" s="38">
        <v>2.1899999999999999E-2</v>
      </c>
      <c r="I153" s="37"/>
      <c r="J153" s="37"/>
      <c r="K153" s="37"/>
      <c r="L153" s="37"/>
      <c r="M153" s="37"/>
      <c r="N153" s="37"/>
      <c r="O153" s="37"/>
      <c r="P153" s="37"/>
    </row>
    <row r="154" spans="1:16" x14ac:dyDescent="0.3">
      <c r="A154" s="24" t="s">
        <v>124</v>
      </c>
      <c r="B154" s="23" t="s">
        <v>123</v>
      </c>
      <c r="C154" s="40">
        <v>1</v>
      </c>
      <c r="D154" s="42"/>
      <c r="E154" s="41">
        <v>2.12E-2</v>
      </c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</row>
    <row r="155" spans="1:16" x14ac:dyDescent="0.3">
      <c r="A155" s="18" t="s">
        <v>282</v>
      </c>
      <c r="B155" s="17" t="s">
        <v>281</v>
      </c>
      <c r="C155" s="39">
        <v>1</v>
      </c>
      <c r="D155" s="37"/>
      <c r="E155" s="37"/>
      <c r="F155" s="37"/>
      <c r="G155" s="37"/>
      <c r="H155" s="37"/>
      <c r="I155" s="37"/>
      <c r="J155" s="38">
        <v>2.1100000000000001E-2</v>
      </c>
      <c r="K155" s="37"/>
      <c r="L155" s="37"/>
      <c r="M155" s="37"/>
      <c r="N155" s="37"/>
      <c r="O155" s="37"/>
      <c r="P155" s="37"/>
    </row>
    <row r="156" spans="1:16" x14ac:dyDescent="0.3">
      <c r="A156" s="24" t="s">
        <v>200</v>
      </c>
      <c r="B156" s="23" t="s">
        <v>199</v>
      </c>
      <c r="C156" s="40">
        <v>1</v>
      </c>
      <c r="D156" s="42"/>
      <c r="E156" s="42"/>
      <c r="F156" s="42"/>
      <c r="G156" s="41">
        <v>2.0899999999999998E-2</v>
      </c>
      <c r="H156" s="42"/>
      <c r="I156" s="42"/>
      <c r="J156" s="42"/>
      <c r="K156" s="42"/>
      <c r="L156" s="42"/>
      <c r="M156" s="42"/>
      <c r="N156" s="42"/>
      <c r="O156" s="42"/>
      <c r="P156" s="42"/>
    </row>
    <row r="157" spans="1:16" x14ac:dyDescent="0.3">
      <c r="A157" s="18" t="s">
        <v>496</v>
      </c>
      <c r="B157" s="17" t="s">
        <v>495</v>
      </c>
      <c r="C157" s="39">
        <v>1</v>
      </c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8">
        <v>2.0899999999999998E-2</v>
      </c>
    </row>
    <row r="158" spans="1:16" x14ac:dyDescent="0.3">
      <c r="A158" s="24" t="s">
        <v>202</v>
      </c>
      <c r="B158" s="23" t="s">
        <v>201</v>
      </c>
      <c r="C158" s="40">
        <v>1</v>
      </c>
      <c r="D158" s="42"/>
      <c r="E158" s="42"/>
      <c r="F158" s="42"/>
      <c r="G158" s="41">
        <v>2.07E-2</v>
      </c>
      <c r="H158" s="42"/>
      <c r="I158" s="42"/>
      <c r="J158" s="42"/>
      <c r="K158" s="42"/>
      <c r="L158" s="42"/>
      <c r="M158" s="42"/>
      <c r="N158" s="42"/>
      <c r="O158" s="42"/>
      <c r="P158" s="42"/>
    </row>
    <row r="159" spans="1:16" x14ac:dyDescent="0.3">
      <c r="A159" s="18" t="s">
        <v>453</v>
      </c>
      <c r="B159" s="17" t="s">
        <v>452</v>
      </c>
      <c r="C159" s="39">
        <v>1</v>
      </c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8">
        <v>2.06E-2</v>
      </c>
      <c r="P159" s="37"/>
    </row>
    <row r="160" spans="1:16" x14ac:dyDescent="0.3">
      <c r="A160" s="24" t="s">
        <v>415</v>
      </c>
      <c r="B160" s="23" t="s">
        <v>414</v>
      </c>
      <c r="C160" s="40">
        <v>1</v>
      </c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1">
        <v>2.0400000000000001E-2</v>
      </c>
      <c r="O160" s="42"/>
      <c r="P160" s="42"/>
    </row>
    <row r="161" spans="1:16" x14ac:dyDescent="0.3">
      <c r="A161" s="18" t="s">
        <v>235</v>
      </c>
      <c r="B161" s="17" t="s">
        <v>234</v>
      </c>
      <c r="C161" s="39">
        <v>1</v>
      </c>
      <c r="D161" s="37"/>
      <c r="E161" s="37"/>
      <c r="F161" s="37"/>
      <c r="G161" s="37"/>
      <c r="H161" s="38">
        <v>2.0299999999999999E-2</v>
      </c>
      <c r="I161" s="37"/>
      <c r="J161" s="37"/>
      <c r="K161" s="37"/>
      <c r="L161" s="37"/>
      <c r="M161" s="37"/>
      <c r="N161" s="37"/>
      <c r="O161" s="37"/>
      <c r="P161" s="37"/>
    </row>
    <row r="162" spans="1:16" x14ac:dyDescent="0.3">
      <c r="A162" s="24" t="s">
        <v>417</v>
      </c>
      <c r="B162" s="23" t="s">
        <v>416</v>
      </c>
      <c r="C162" s="40">
        <v>1</v>
      </c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1">
        <v>1.9800000000000002E-2</v>
      </c>
      <c r="O162" s="42"/>
      <c r="P162" s="42"/>
    </row>
    <row r="163" spans="1:16" x14ac:dyDescent="0.3">
      <c r="A163" s="18" t="s">
        <v>419</v>
      </c>
      <c r="B163" s="17" t="s">
        <v>418</v>
      </c>
      <c r="C163" s="39">
        <v>1</v>
      </c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8">
        <v>1.8800000000000001E-2</v>
      </c>
      <c r="O163" s="37"/>
      <c r="P163" s="37"/>
    </row>
    <row r="164" spans="1:16" x14ac:dyDescent="0.3">
      <c r="A164" s="24" t="s">
        <v>423</v>
      </c>
      <c r="B164" s="23" t="s">
        <v>422</v>
      </c>
      <c r="C164" s="40">
        <v>1</v>
      </c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1">
        <v>1.8499999999999999E-2</v>
      </c>
      <c r="O164" s="42"/>
      <c r="P164" s="42"/>
    </row>
    <row r="165" spans="1:16" x14ac:dyDescent="0.3">
      <c r="A165" s="18" t="s">
        <v>80</v>
      </c>
      <c r="B165" s="17" t="s">
        <v>79</v>
      </c>
      <c r="C165" s="39">
        <v>1</v>
      </c>
      <c r="D165" s="38">
        <v>1.8200000000000001E-2</v>
      </c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</row>
    <row r="166" spans="1:16" x14ac:dyDescent="0.3">
      <c r="A166" s="24" t="s">
        <v>421</v>
      </c>
      <c r="B166" s="23" t="s">
        <v>420</v>
      </c>
      <c r="C166" s="40">
        <v>1</v>
      </c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1">
        <v>1.8200000000000001E-2</v>
      </c>
      <c r="O166" s="42"/>
      <c r="P166" s="42"/>
    </row>
    <row r="167" spans="1:16" x14ac:dyDescent="0.3">
      <c r="A167" s="18" t="s">
        <v>286</v>
      </c>
      <c r="B167" s="17" t="s">
        <v>285</v>
      </c>
      <c r="C167" s="39">
        <v>1</v>
      </c>
      <c r="D167" s="37"/>
      <c r="E167" s="37"/>
      <c r="F167" s="37"/>
      <c r="G167" s="37"/>
      <c r="H167" s="37"/>
      <c r="I167" s="37"/>
      <c r="J167" s="38">
        <v>1.7399999999999999E-2</v>
      </c>
      <c r="K167" s="37"/>
      <c r="L167" s="37"/>
      <c r="M167" s="37"/>
      <c r="N167" s="37"/>
      <c r="O167" s="37"/>
      <c r="P167" s="37"/>
    </row>
    <row r="168" spans="1:16" x14ac:dyDescent="0.3">
      <c r="A168" s="24" t="s">
        <v>429</v>
      </c>
      <c r="B168" s="23" t="s">
        <v>428</v>
      </c>
      <c r="C168" s="40">
        <v>1</v>
      </c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1">
        <v>1.7399999999999999E-2</v>
      </c>
      <c r="O168" s="42"/>
      <c r="P168" s="42"/>
    </row>
    <row r="169" spans="1:16" x14ac:dyDescent="0.3">
      <c r="A169" s="18" t="s">
        <v>256</v>
      </c>
      <c r="B169" s="17" t="s">
        <v>255</v>
      </c>
      <c r="C169" s="39">
        <v>1</v>
      </c>
      <c r="D169" s="37"/>
      <c r="E169" s="37"/>
      <c r="F169" s="37"/>
      <c r="G169" s="37"/>
      <c r="H169" s="37"/>
      <c r="I169" s="38">
        <v>1.7299999999999999E-2</v>
      </c>
      <c r="J169" s="37"/>
      <c r="K169" s="37"/>
      <c r="L169" s="37"/>
      <c r="M169" s="37"/>
      <c r="N169" s="37"/>
      <c r="O169" s="37"/>
      <c r="P169" s="37"/>
    </row>
    <row r="170" spans="1:16" x14ac:dyDescent="0.3">
      <c r="A170" s="24" t="s">
        <v>427</v>
      </c>
      <c r="B170" s="23" t="s">
        <v>426</v>
      </c>
      <c r="C170" s="40">
        <v>1</v>
      </c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1">
        <v>1.7299999999999999E-2</v>
      </c>
      <c r="O170" s="42"/>
      <c r="P170" s="42"/>
    </row>
    <row r="171" spans="1:16" x14ac:dyDescent="0.3">
      <c r="A171" s="18" t="s">
        <v>425</v>
      </c>
      <c r="B171" s="17" t="s">
        <v>424</v>
      </c>
      <c r="C171" s="39">
        <v>1</v>
      </c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8">
        <v>1.7000000000000001E-2</v>
      </c>
      <c r="O171" s="37"/>
      <c r="P171" s="37"/>
    </row>
    <row r="172" spans="1:16" x14ac:dyDescent="0.3">
      <c r="A172" s="24" t="s">
        <v>258</v>
      </c>
      <c r="B172" s="23" t="s">
        <v>257</v>
      </c>
      <c r="C172" s="40">
        <v>1</v>
      </c>
      <c r="D172" s="42"/>
      <c r="E172" s="42"/>
      <c r="F172" s="42"/>
      <c r="G172" s="42"/>
      <c r="H172" s="42"/>
      <c r="I172" s="41">
        <v>1.6E-2</v>
      </c>
      <c r="J172" s="42"/>
      <c r="K172" s="42"/>
      <c r="L172" s="42"/>
      <c r="M172" s="42"/>
      <c r="N172" s="42"/>
      <c r="O172" s="42"/>
      <c r="P172" s="42"/>
    </row>
    <row r="173" spans="1:16" x14ac:dyDescent="0.3">
      <c r="A173" s="18" t="s">
        <v>455</v>
      </c>
      <c r="B173" s="17" t="s">
        <v>454</v>
      </c>
      <c r="C173" s="39">
        <v>1</v>
      </c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8">
        <v>1.4999999999999999E-2</v>
      </c>
      <c r="P173" s="37"/>
    </row>
    <row r="174" spans="1:16" x14ac:dyDescent="0.3">
      <c r="A174" s="24" t="s">
        <v>334</v>
      </c>
      <c r="B174" s="23" t="s">
        <v>333</v>
      </c>
      <c r="C174" s="40">
        <v>1</v>
      </c>
      <c r="D174" s="42"/>
      <c r="E174" s="42"/>
      <c r="F174" s="42"/>
      <c r="G174" s="42"/>
      <c r="H174" s="42"/>
      <c r="I174" s="42"/>
      <c r="J174" s="42"/>
      <c r="K174" s="42"/>
      <c r="L174" s="41">
        <v>1.4500000000000001E-2</v>
      </c>
      <c r="M174" s="42"/>
      <c r="N174" s="42"/>
      <c r="O174" s="42"/>
      <c r="P174" s="42"/>
    </row>
    <row r="175" spans="1:16" x14ac:dyDescent="0.3">
      <c r="A175" s="18" t="s">
        <v>288</v>
      </c>
      <c r="B175" s="17" t="s">
        <v>287</v>
      </c>
      <c r="C175" s="39">
        <v>1</v>
      </c>
      <c r="D175" s="37"/>
      <c r="E175" s="37"/>
      <c r="F175" s="37"/>
      <c r="G175" s="37"/>
      <c r="H175" s="37"/>
      <c r="I175" s="37"/>
      <c r="J175" s="38">
        <v>1.3899999999999999E-2</v>
      </c>
      <c r="K175" s="37"/>
      <c r="L175" s="37"/>
      <c r="M175" s="37"/>
      <c r="N175" s="37"/>
      <c r="O175" s="37"/>
      <c r="P175" s="37"/>
    </row>
    <row r="176" spans="1:16" x14ac:dyDescent="0.3">
      <c r="A176" s="24" t="s">
        <v>457</v>
      </c>
      <c r="B176" s="23" t="s">
        <v>456</v>
      </c>
      <c r="C176" s="40">
        <v>1</v>
      </c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1">
        <v>1.38E-2</v>
      </c>
      <c r="P176" s="42"/>
    </row>
    <row r="177" spans="1:16" x14ac:dyDescent="0.3">
      <c r="A177" s="18" t="s">
        <v>336</v>
      </c>
      <c r="B177" s="17" t="s">
        <v>335</v>
      </c>
      <c r="C177" s="39">
        <v>1</v>
      </c>
      <c r="D177" s="37"/>
      <c r="E177" s="37"/>
      <c r="F177" s="37"/>
      <c r="G177" s="37"/>
      <c r="H177" s="37"/>
      <c r="I177" s="37"/>
      <c r="J177" s="37"/>
      <c r="K177" s="37"/>
      <c r="L177" s="38">
        <v>1.37E-2</v>
      </c>
      <c r="M177" s="37"/>
      <c r="N177" s="37"/>
      <c r="O177" s="37"/>
      <c r="P177" s="37"/>
    </row>
    <row r="178" spans="1:16" x14ac:dyDescent="0.3">
      <c r="A178" s="24" t="s">
        <v>338</v>
      </c>
      <c r="B178" s="23" t="s">
        <v>337</v>
      </c>
      <c r="C178" s="40">
        <v>1</v>
      </c>
      <c r="D178" s="42"/>
      <c r="E178" s="42"/>
      <c r="F178" s="42"/>
      <c r="G178" s="42"/>
      <c r="H178" s="42"/>
      <c r="I178" s="42"/>
      <c r="J178" s="42"/>
      <c r="K178" s="42"/>
      <c r="L178" s="41">
        <v>1.3299999999999999E-2</v>
      </c>
      <c r="M178" s="42"/>
      <c r="N178" s="42"/>
      <c r="O178" s="42"/>
      <c r="P178" s="42"/>
    </row>
    <row r="179" spans="1:16" x14ac:dyDescent="0.3">
      <c r="A179" s="18" t="s">
        <v>340</v>
      </c>
      <c r="B179" s="17" t="s">
        <v>339</v>
      </c>
      <c r="C179" s="39">
        <v>1</v>
      </c>
      <c r="D179" s="37"/>
      <c r="E179" s="37"/>
      <c r="F179" s="37"/>
      <c r="G179" s="37"/>
      <c r="H179" s="37"/>
      <c r="I179" s="37"/>
      <c r="J179" s="37"/>
      <c r="K179" s="37"/>
      <c r="L179" s="38">
        <v>1.32E-2</v>
      </c>
      <c r="M179" s="37"/>
      <c r="N179" s="37"/>
      <c r="O179" s="37"/>
      <c r="P179" s="37"/>
    </row>
    <row r="180" spans="1:16" x14ac:dyDescent="0.3">
      <c r="A180" s="24" t="s">
        <v>290</v>
      </c>
      <c r="B180" s="23" t="s">
        <v>289</v>
      </c>
      <c r="C180" s="40">
        <v>1</v>
      </c>
      <c r="D180" s="42"/>
      <c r="E180" s="42"/>
      <c r="F180" s="42"/>
      <c r="G180" s="42"/>
      <c r="H180" s="42"/>
      <c r="I180" s="42"/>
      <c r="J180" s="41">
        <v>1.2800000000000001E-2</v>
      </c>
      <c r="K180" s="42"/>
      <c r="L180" s="42"/>
      <c r="M180" s="42"/>
      <c r="N180" s="42"/>
      <c r="O180" s="42"/>
      <c r="P180" s="42"/>
    </row>
    <row r="181" spans="1:16" x14ac:dyDescent="0.3">
      <c r="A181" s="18" t="s">
        <v>342</v>
      </c>
      <c r="B181" s="17" t="s">
        <v>341</v>
      </c>
      <c r="C181" s="39">
        <v>1</v>
      </c>
      <c r="D181" s="37"/>
      <c r="E181" s="37"/>
      <c r="F181" s="37"/>
      <c r="G181" s="37"/>
      <c r="H181" s="37"/>
      <c r="I181" s="37"/>
      <c r="J181" s="37"/>
      <c r="K181" s="37"/>
      <c r="L181" s="38">
        <v>1.26E-2</v>
      </c>
      <c r="M181" s="37"/>
      <c r="N181" s="37"/>
      <c r="O181" s="37"/>
      <c r="P181" s="37"/>
    </row>
    <row r="182" spans="1:16" x14ac:dyDescent="0.3">
      <c r="A182" s="24" t="s">
        <v>344</v>
      </c>
      <c r="B182" s="23" t="s">
        <v>343</v>
      </c>
      <c r="C182" s="40">
        <v>1</v>
      </c>
      <c r="D182" s="42"/>
      <c r="E182" s="42"/>
      <c r="F182" s="42"/>
      <c r="G182" s="42"/>
      <c r="H182" s="42"/>
      <c r="I182" s="42"/>
      <c r="J182" s="42"/>
      <c r="K182" s="42"/>
      <c r="L182" s="41">
        <v>1.24E-2</v>
      </c>
      <c r="M182" s="42"/>
      <c r="N182" s="42"/>
      <c r="O182" s="42"/>
      <c r="P182" s="42"/>
    </row>
    <row r="183" spans="1:16" x14ac:dyDescent="0.3">
      <c r="A183" s="18" t="s">
        <v>346</v>
      </c>
      <c r="B183" s="17" t="s">
        <v>345</v>
      </c>
      <c r="C183" s="39">
        <v>1</v>
      </c>
      <c r="D183" s="37"/>
      <c r="E183" s="37"/>
      <c r="F183" s="37"/>
      <c r="G183" s="37"/>
      <c r="H183" s="37"/>
      <c r="I183" s="37"/>
      <c r="J183" s="37"/>
      <c r="K183" s="37"/>
      <c r="L183" s="38">
        <v>1.21E-2</v>
      </c>
      <c r="M183" s="37"/>
      <c r="N183" s="37"/>
      <c r="O183" s="37"/>
      <c r="P183" s="37"/>
    </row>
    <row r="184" spans="1:16" x14ac:dyDescent="0.3">
      <c r="A184" s="24" t="s">
        <v>294</v>
      </c>
      <c r="B184" s="23" t="s">
        <v>293</v>
      </c>
      <c r="C184" s="40">
        <v>1</v>
      </c>
      <c r="D184" s="42"/>
      <c r="E184" s="42"/>
      <c r="F184" s="42"/>
      <c r="G184" s="42"/>
      <c r="H184" s="42"/>
      <c r="I184" s="42"/>
      <c r="J184" s="41">
        <v>1.1900000000000001E-2</v>
      </c>
      <c r="K184" s="42"/>
      <c r="L184" s="42"/>
      <c r="M184" s="42"/>
      <c r="N184" s="42"/>
      <c r="O184" s="42"/>
      <c r="P184" s="42"/>
    </row>
    <row r="185" spans="1:16" x14ac:dyDescent="0.3">
      <c r="A185" s="18" t="s">
        <v>348</v>
      </c>
      <c r="B185" s="17" t="s">
        <v>347</v>
      </c>
      <c r="C185" s="39">
        <v>1</v>
      </c>
      <c r="D185" s="37"/>
      <c r="E185" s="37"/>
      <c r="F185" s="37"/>
      <c r="G185" s="37"/>
      <c r="H185" s="37"/>
      <c r="I185" s="37"/>
      <c r="J185" s="37"/>
      <c r="K185" s="37"/>
      <c r="L185" s="38">
        <v>1.1900000000000001E-2</v>
      </c>
      <c r="M185" s="37"/>
      <c r="N185" s="37"/>
      <c r="O185" s="37"/>
      <c r="P185" s="37"/>
    </row>
    <row r="186" spans="1:16" x14ac:dyDescent="0.3">
      <c r="A186" s="24" t="s">
        <v>296</v>
      </c>
      <c r="B186" s="23" t="s">
        <v>295</v>
      </c>
      <c r="C186" s="40">
        <v>1</v>
      </c>
      <c r="D186" s="42"/>
      <c r="E186" s="42"/>
      <c r="F186" s="42"/>
      <c r="G186" s="42"/>
      <c r="H186" s="42"/>
      <c r="I186" s="42"/>
      <c r="J186" s="41">
        <v>1.17E-2</v>
      </c>
      <c r="K186" s="42"/>
      <c r="L186" s="42"/>
      <c r="M186" s="42"/>
      <c r="N186" s="42"/>
      <c r="O186" s="42"/>
      <c r="P186" s="42"/>
    </row>
    <row r="187" spans="1:16" x14ac:dyDescent="0.3">
      <c r="A187" s="18" t="s">
        <v>298</v>
      </c>
      <c r="B187" s="17" t="s">
        <v>297</v>
      </c>
      <c r="C187" s="39">
        <v>1</v>
      </c>
      <c r="D187" s="37"/>
      <c r="E187" s="37"/>
      <c r="F187" s="37"/>
      <c r="G187" s="37"/>
      <c r="H187" s="37"/>
      <c r="I187" s="37"/>
      <c r="J187" s="38">
        <v>1.17E-2</v>
      </c>
      <c r="K187" s="37"/>
      <c r="L187" s="37"/>
      <c r="M187" s="37"/>
      <c r="N187" s="37"/>
      <c r="O187" s="37"/>
      <c r="P187" s="37"/>
    </row>
    <row r="188" spans="1:16" x14ac:dyDescent="0.3">
      <c r="A188" s="24" t="s">
        <v>350</v>
      </c>
      <c r="B188" s="23" t="s">
        <v>349</v>
      </c>
      <c r="C188" s="40">
        <v>1</v>
      </c>
      <c r="D188" s="42"/>
      <c r="E188" s="42"/>
      <c r="F188" s="42"/>
      <c r="G188" s="42"/>
      <c r="H188" s="42"/>
      <c r="I188" s="42"/>
      <c r="J188" s="42"/>
      <c r="K188" s="42"/>
      <c r="L188" s="41">
        <v>1.17E-2</v>
      </c>
      <c r="M188" s="42"/>
      <c r="N188" s="42"/>
      <c r="O188" s="42"/>
      <c r="P188" s="42"/>
    </row>
    <row r="189" spans="1:16" x14ac:dyDescent="0.3">
      <c r="A189" s="18" t="s">
        <v>352</v>
      </c>
      <c r="B189" s="17" t="s">
        <v>351</v>
      </c>
      <c r="C189" s="39">
        <v>1</v>
      </c>
      <c r="D189" s="37"/>
      <c r="E189" s="37"/>
      <c r="F189" s="37"/>
      <c r="G189" s="37"/>
      <c r="H189" s="37"/>
      <c r="I189" s="37"/>
      <c r="J189" s="37"/>
      <c r="K189" s="37"/>
      <c r="L189" s="38">
        <v>1.17E-2</v>
      </c>
      <c r="M189" s="37"/>
      <c r="N189" s="37"/>
      <c r="O189" s="37"/>
      <c r="P189" s="37"/>
    </row>
    <row r="190" spans="1:16" x14ac:dyDescent="0.3">
      <c r="A190" s="24" t="s">
        <v>354</v>
      </c>
      <c r="B190" s="23" t="s">
        <v>353</v>
      </c>
      <c r="C190" s="40">
        <v>1</v>
      </c>
      <c r="D190" s="42"/>
      <c r="E190" s="42"/>
      <c r="F190" s="42"/>
      <c r="G190" s="42"/>
      <c r="H190" s="42"/>
      <c r="I190" s="42"/>
      <c r="J190" s="42"/>
      <c r="K190" s="42"/>
      <c r="L190" s="41">
        <v>1.1599999999999999E-2</v>
      </c>
      <c r="M190" s="42"/>
      <c r="N190" s="42"/>
      <c r="O190" s="42"/>
      <c r="P190" s="42"/>
    </row>
    <row r="191" spans="1:16" x14ac:dyDescent="0.3">
      <c r="A191" s="18" t="s">
        <v>356</v>
      </c>
      <c r="B191" s="17" t="s">
        <v>355</v>
      </c>
      <c r="C191" s="39">
        <v>1</v>
      </c>
      <c r="D191" s="37"/>
      <c r="E191" s="37"/>
      <c r="F191" s="37"/>
      <c r="G191" s="37"/>
      <c r="H191" s="37"/>
      <c r="I191" s="37"/>
      <c r="J191" s="37"/>
      <c r="K191" s="37"/>
      <c r="L191" s="38">
        <v>1.15E-2</v>
      </c>
      <c r="M191" s="37"/>
      <c r="N191" s="37"/>
      <c r="O191" s="37"/>
      <c r="P191" s="37"/>
    </row>
    <row r="192" spans="1:16" x14ac:dyDescent="0.3">
      <c r="A192" s="24" t="s">
        <v>358</v>
      </c>
      <c r="B192" s="23" t="s">
        <v>357</v>
      </c>
      <c r="C192" s="40">
        <v>1</v>
      </c>
      <c r="D192" s="42"/>
      <c r="E192" s="42"/>
      <c r="F192" s="42"/>
      <c r="G192" s="42"/>
      <c r="H192" s="42"/>
      <c r="I192" s="42"/>
      <c r="J192" s="42"/>
      <c r="K192" s="42"/>
      <c r="L192" s="41">
        <v>1.15E-2</v>
      </c>
      <c r="M192" s="42"/>
      <c r="N192" s="42"/>
      <c r="O192" s="42"/>
      <c r="P192" s="42"/>
    </row>
    <row r="193" spans="1:16" x14ac:dyDescent="0.3">
      <c r="A193" s="18" t="s">
        <v>360</v>
      </c>
      <c r="B193" s="17" t="s">
        <v>359</v>
      </c>
      <c r="C193" s="39">
        <v>1</v>
      </c>
      <c r="D193" s="37"/>
      <c r="E193" s="37"/>
      <c r="F193" s="37"/>
      <c r="G193" s="37"/>
      <c r="H193" s="37"/>
      <c r="I193" s="37"/>
      <c r="J193" s="37"/>
      <c r="K193" s="37"/>
      <c r="L193" s="38">
        <v>1.15E-2</v>
      </c>
      <c r="M193" s="37"/>
      <c r="N193" s="37"/>
      <c r="O193" s="37"/>
      <c r="P193" s="37"/>
    </row>
    <row r="194" spans="1:16" x14ac:dyDescent="0.3">
      <c r="A194" s="24" t="s">
        <v>362</v>
      </c>
      <c r="B194" s="23" t="s">
        <v>361</v>
      </c>
      <c r="C194" s="40">
        <v>1</v>
      </c>
      <c r="D194" s="42"/>
      <c r="E194" s="42"/>
      <c r="F194" s="42"/>
      <c r="G194" s="42"/>
      <c r="H194" s="42"/>
      <c r="I194" s="42"/>
      <c r="J194" s="42"/>
      <c r="K194" s="42"/>
      <c r="L194" s="41">
        <v>1.14E-2</v>
      </c>
      <c r="M194" s="42"/>
      <c r="N194" s="42"/>
      <c r="O194" s="42"/>
      <c r="P194" s="42"/>
    </row>
    <row r="195" spans="1:16" x14ac:dyDescent="0.3">
      <c r="A195" s="18" t="s">
        <v>364</v>
      </c>
      <c r="B195" s="17" t="s">
        <v>363</v>
      </c>
      <c r="C195" s="39">
        <v>1</v>
      </c>
      <c r="D195" s="37"/>
      <c r="E195" s="37"/>
      <c r="F195" s="37"/>
      <c r="G195" s="37"/>
      <c r="H195" s="37"/>
      <c r="I195" s="37"/>
      <c r="J195" s="37"/>
      <c r="K195" s="37"/>
      <c r="L195" s="38">
        <v>1.1299999999999999E-2</v>
      </c>
      <c r="M195" s="37"/>
      <c r="N195" s="37"/>
      <c r="O195" s="37"/>
      <c r="P195" s="37"/>
    </row>
    <row r="196" spans="1:16" x14ac:dyDescent="0.3">
      <c r="A196" s="24" t="s">
        <v>366</v>
      </c>
      <c r="B196" s="23" t="s">
        <v>365</v>
      </c>
      <c r="C196" s="40">
        <v>1</v>
      </c>
      <c r="D196" s="42"/>
      <c r="E196" s="42"/>
      <c r="F196" s="42"/>
      <c r="G196" s="42"/>
      <c r="H196" s="42"/>
      <c r="I196" s="42"/>
      <c r="J196" s="42"/>
      <c r="K196" s="42"/>
      <c r="L196" s="41">
        <v>1.1299999999999999E-2</v>
      </c>
      <c r="M196" s="42"/>
      <c r="N196" s="42"/>
      <c r="O196" s="42"/>
      <c r="P196" s="42"/>
    </row>
    <row r="198" spans="1:16" x14ac:dyDescent="0.3">
      <c r="A198" s="1" t="s">
        <v>501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</sheetData>
  <mergeCells count="1">
    <mergeCell ref="A198:P19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Indice</vt:lpstr>
      <vt:lpstr>DRAM_US</vt:lpstr>
      <vt:lpstr>DTCR_US</vt:lpstr>
      <vt:lpstr>VOLT_US</vt:lpstr>
      <vt:lpstr>AIRR_US</vt:lpstr>
      <vt:lpstr>EUV_US</vt:lpstr>
      <vt:lpstr>FOTO_US</vt:lpstr>
      <vt:lpstr>PICK_US</vt:lpstr>
      <vt:lpstr>COPX_US</vt:lpstr>
      <vt:lpstr>LOHA_US</vt:lpstr>
      <vt:lpstr>JEDI_LN</vt:lpstr>
      <vt:lpstr>QTUM_US</vt:lpstr>
      <vt:lpstr>JEDI_US</vt:lpstr>
      <vt:lpstr>REMX_US</vt:lpstr>
      <vt:lpstr>Overlap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Amorim</cp:lastModifiedBy>
  <cp:revision>0</cp:revision>
  <dcterms:created xsi:type="dcterms:W3CDTF">2026-06-10T09:25:07Z</dcterms:created>
  <dcterms:modified xsi:type="dcterms:W3CDTF">2026-06-10T09:39:30Z</dcterms:modified>
  <dc:language>en-US</dc:language>
</cp:coreProperties>
</file>